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/Development/mapping/peak_bagger/assets/"/>
    </mc:Choice>
  </mc:AlternateContent>
  <xr:revisionPtr revIDLastSave="0" documentId="8_{3F13FD32-9115-2B49-9A01-85246AF5D691}" xr6:coauthVersionLast="47" xr6:coauthVersionMax="47" xr10:uidLastSave="{00000000-0000-0000-0000-000000000000}"/>
  <bookViews>
    <workbookView xWindow="0" yWindow="680" windowWidth="34200" windowHeight="21460" xr2:uid="{768077DF-DE8F-B146-B779-D854F9FF0848}"/>
  </bookViews>
  <sheets>
    <sheet name="HIGH_PLACES" sheetId="1" r:id="rId1"/>
  </sheets>
  <externalReferences>
    <externalReference r:id="rId2"/>
  </externalReferences>
  <definedNames>
    <definedName name="_xlnm._FilterDatabase" localSheetId="0" hidden="1">HIGH_PLACES!$A$1:$P$976</definedName>
    <definedName name="HighPlaces">HIGH_PLACES!$A$1:$P$976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6" i="1" l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<sst xmlns="http://schemas.openxmlformats.org/spreadsheetml/2006/main" count="5892" uniqueCount="1268">
  <si>
    <t>Name</t>
  </si>
  <si>
    <t>50K</t>
  </si>
  <si>
    <t>50KName</t>
  </si>
  <si>
    <t>25K</t>
  </si>
  <si>
    <t>25kName</t>
  </si>
  <si>
    <t>Description</t>
  </si>
  <si>
    <t>Municipality</t>
  </si>
  <si>
    <t>Zone</t>
  </si>
  <si>
    <t>Easting</t>
  </si>
  <si>
    <t>Northing</t>
  </si>
  <si>
    <t>Latitude</t>
  </si>
  <si>
    <t>Longitude</t>
  </si>
  <si>
    <t>Abel</t>
  </si>
  <si>
    <t>Conn</t>
  </si>
  <si>
    <t>P3</t>
  </si>
  <si>
    <t>P4</t>
  </si>
  <si>
    <t>Abbotts Lookout</t>
  </si>
  <si>
    <t>Maydena</t>
  </si>
  <si>
    <t>Hill</t>
  </si>
  <si>
    <t>Derwent Valley</t>
  </si>
  <si>
    <t>55G</t>
  </si>
  <si>
    <t>Y</t>
  </si>
  <si>
    <t>Abel Peak</t>
  </si>
  <si>
    <t>Mountain Peak</t>
  </si>
  <si>
    <t>West Coast</t>
  </si>
  <si>
    <t>Abrotanella Rise</t>
  </si>
  <si>
    <t>Burgess</t>
  </si>
  <si>
    <t>Huon Valley</t>
  </si>
  <si>
    <t>Achilles, Mount</t>
  </si>
  <si>
    <t>Achilles</t>
  </si>
  <si>
    <t>Mountain</t>
  </si>
  <si>
    <t>Acropolis, The</t>
  </si>
  <si>
    <t>Ducane</t>
  </si>
  <si>
    <t>Meander Valley</t>
  </si>
  <si>
    <t>Adams Peak</t>
  </si>
  <si>
    <t>Breona</t>
  </si>
  <si>
    <t>Central Highlands</t>
  </si>
  <si>
    <t/>
  </si>
  <si>
    <t>Adamsons Peak</t>
  </si>
  <si>
    <t>Raminea</t>
  </si>
  <si>
    <t>Agnew, Mount</t>
  </si>
  <si>
    <t>Heemskirk</t>
  </si>
  <si>
    <t>Albert, Mount</t>
  </si>
  <si>
    <t>Victoria</t>
  </si>
  <si>
    <t>Break O'Day</t>
  </si>
  <si>
    <t>Aldebaran, Mount</t>
  </si>
  <si>
    <t>Glovers</t>
  </si>
  <si>
    <t>Alexandra, Mount</t>
  </si>
  <si>
    <t>Bisdee</t>
  </si>
  <si>
    <t>Algonkian Mountain</t>
  </si>
  <si>
    <t>Algonkian</t>
  </si>
  <si>
    <t>Allen, Mount</t>
  </si>
  <si>
    <t>Seymour</t>
  </si>
  <si>
    <t>Alma Tier</t>
  </si>
  <si>
    <t>Interlaken</t>
  </si>
  <si>
    <t>Alma, Mount</t>
  </si>
  <si>
    <t>Loddon</t>
  </si>
  <si>
    <t>Alpha Pinnacle</t>
  </si>
  <si>
    <t>Bains</t>
  </si>
  <si>
    <t>Southern Midlands</t>
  </si>
  <si>
    <t>Amos, Mount</t>
  </si>
  <si>
    <t>Coles Bay</t>
  </si>
  <si>
    <t>Glamorgan-Spring Bay</t>
  </si>
  <si>
    <t>Anderson Bluff</t>
  </si>
  <si>
    <t>Andrew, Mount</t>
  </si>
  <si>
    <t>Henry</t>
  </si>
  <si>
    <t>Ann, Mount</t>
  </si>
  <si>
    <t>Stonor</t>
  </si>
  <si>
    <t>Anne, Mount</t>
  </si>
  <si>
    <t>Anne</t>
  </si>
  <si>
    <t>Anstey, Mount</t>
  </si>
  <si>
    <t>Oatlands</t>
  </si>
  <si>
    <t>Archers Sugarloaf</t>
  </si>
  <si>
    <t>Quamby Bluff</t>
  </si>
  <si>
    <t>Arnold Peak</t>
  </si>
  <si>
    <t>Selina</t>
  </si>
  <si>
    <t>Arnon, Mount</t>
  </si>
  <si>
    <t>Prospect</t>
  </si>
  <si>
    <t>Northern Midlands</t>
  </si>
  <si>
    <t>Arrowsmith, Mount</t>
  </si>
  <si>
    <t>Arrowsmith</t>
  </si>
  <si>
    <t>Arthur, Mount</t>
  </si>
  <si>
    <t>Port Arthur</t>
  </si>
  <si>
    <t>Tasman</t>
  </si>
  <si>
    <t>Collinsvale</t>
  </si>
  <si>
    <t>Glenorchy</t>
  </si>
  <si>
    <t>Lisle</t>
  </si>
  <si>
    <t>Launceston</t>
  </si>
  <si>
    <t>Arthurs Peak</t>
  </si>
  <si>
    <t>Artillery Knob</t>
  </si>
  <si>
    <t>Cradle</t>
  </si>
  <si>
    <t>Asbestos, Mount</t>
  </si>
  <si>
    <t>Port Sorell</t>
  </si>
  <si>
    <t>Latrobe</t>
  </si>
  <si>
    <t>Asgard Crag</t>
  </si>
  <si>
    <t>Stacks</t>
  </si>
  <si>
    <t>Augusta, Mount</t>
  </si>
  <si>
    <t>Campbell Town</t>
  </si>
  <si>
    <t>Back Peak</t>
  </si>
  <si>
    <t>Pencil Pine</t>
  </si>
  <si>
    <t>Badger Hill</t>
  </si>
  <si>
    <t>Bains, Mount</t>
  </si>
  <si>
    <t>Bakers Tier</t>
  </si>
  <si>
    <t>Steppes</t>
  </si>
  <si>
    <t>Mountains</t>
  </si>
  <si>
    <t>Balfour, Mount</t>
  </si>
  <si>
    <t>Balfour</t>
  </si>
  <si>
    <t>Circular Head</t>
  </si>
  <si>
    <t>Banks, Mount</t>
  </si>
  <si>
    <t>Fluted Cape</t>
  </si>
  <si>
    <t>Kingborough</t>
  </si>
  <si>
    <t>Bare, Mount</t>
  </si>
  <si>
    <t>Lea</t>
  </si>
  <si>
    <t>Central Coast</t>
  </si>
  <si>
    <t>Baretop Ridge</t>
  </si>
  <si>
    <t>Baretop</t>
  </si>
  <si>
    <t>Ridge</t>
  </si>
  <si>
    <t>Waratah-Wynyard</t>
  </si>
  <si>
    <t>Barn Bluff</t>
  </si>
  <si>
    <t>Barren Tier</t>
  </si>
  <si>
    <t>Monpeelyata</t>
  </si>
  <si>
    <t>Barrow, Mount</t>
  </si>
  <si>
    <t>Nunamara</t>
  </si>
  <si>
    <t>Bastion Bluff</t>
  </si>
  <si>
    <t>Lake MacKenzie</t>
  </si>
  <si>
    <t>Bastion, The</t>
  </si>
  <si>
    <t>Tyndall</t>
  </si>
  <si>
    <t>Battlement Hills</t>
  </si>
  <si>
    <t>Spires</t>
  </si>
  <si>
    <t>Baudin, Mount</t>
  </si>
  <si>
    <t>Bawleys Peak</t>
  </si>
  <si>
    <t>Bronte</t>
  </si>
  <si>
    <t>Bayeux Bluff</t>
  </si>
  <si>
    <t>Bedlam Wall</t>
  </si>
  <si>
    <t>Rufus</t>
  </si>
  <si>
    <t>Cliff</t>
  </si>
  <si>
    <t>Beecroft, Mount</t>
  </si>
  <si>
    <t>Beehive, The</t>
  </si>
  <si>
    <t>Beggary Bumps</t>
  </si>
  <si>
    <t>Razorback</t>
  </si>
  <si>
    <t>Bell Mount</t>
  </si>
  <si>
    <t>Cethana</t>
  </si>
  <si>
    <t>Kentish</t>
  </si>
  <si>
    <t>Bell, Mount</t>
  </si>
  <si>
    <t>Luina</t>
  </si>
  <si>
    <t>Bellevue Tier</t>
  </si>
  <si>
    <t>Waddamana</t>
  </si>
  <si>
    <t>Belmont</t>
  </si>
  <si>
    <t>Bushy Park</t>
  </si>
  <si>
    <t>Belstead, Mount</t>
  </si>
  <si>
    <t>Fisher</t>
  </si>
  <si>
    <t>Flinders</t>
  </si>
  <si>
    <t>Ben Nevis</t>
  </si>
  <si>
    <t>Benson Peak</t>
  </si>
  <si>
    <t>Bent Bluff</t>
  </si>
  <si>
    <t>Mangana</t>
  </si>
  <si>
    <t>Berry, Mount</t>
  </si>
  <si>
    <t>Rugby</t>
  </si>
  <si>
    <t>Bertha, Mount</t>
  </si>
  <si>
    <t>Bertha</t>
  </si>
  <si>
    <t>Beta Mount</t>
  </si>
  <si>
    <t>Bethune, Mount</t>
  </si>
  <si>
    <t>Hamilton</t>
  </si>
  <si>
    <t>Big Silver</t>
  </si>
  <si>
    <t>Loagan</t>
  </si>
  <si>
    <t>Big White Hill</t>
  </si>
  <si>
    <t>Bothwell</t>
  </si>
  <si>
    <t>Billopp Bluff</t>
  </si>
  <si>
    <t>Bradys Lookout</t>
  </si>
  <si>
    <t>Bischoff, Mount</t>
  </si>
  <si>
    <t>Waratah</t>
  </si>
  <si>
    <t>Bisdee, Mount</t>
  </si>
  <si>
    <t>Bishop and Clerk (North)</t>
  </si>
  <si>
    <t>Darlington</t>
  </si>
  <si>
    <t>Bishop and Clerk (South)</t>
  </si>
  <si>
    <t>Bishop and Clerk (West)</t>
  </si>
  <si>
    <t>Bishop Peak</t>
  </si>
  <si>
    <t>Cathedral</t>
  </si>
  <si>
    <t>Bishops Mitre</t>
  </si>
  <si>
    <t>Black Bluff</t>
  </si>
  <si>
    <t>Loongana</t>
  </si>
  <si>
    <t>Black Bluff (East)</t>
  </si>
  <si>
    <t>Black Bluff Range</t>
  </si>
  <si>
    <t>Black Johnnys Tier</t>
  </si>
  <si>
    <t>Wihareja</t>
  </si>
  <si>
    <t>Black Mountain</t>
  </si>
  <si>
    <t>Raoul</t>
  </si>
  <si>
    <t xml:space="preserve">Black Pinnacle </t>
  </si>
  <si>
    <t>Colebrook</t>
  </si>
  <si>
    <t>Black Sugarloaf</t>
  </si>
  <si>
    <t>Bridgenorth</t>
  </si>
  <si>
    <t>Black Tier</t>
  </si>
  <si>
    <t>Kempton</t>
  </si>
  <si>
    <t>Black, Mount</t>
  </si>
  <si>
    <t>Tullah</t>
  </si>
  <si>
    <t>Blackboy, Mount</t>
  </si>
  <si>
    <t>Saddleback</t>
  </si>
  <si>
    <t>Blackmans Hill</t>
  </si>
  <si>
    <t>Montacute</t>
  </si>
  <si>
    <t>Blackwood, Mount</t>
  </si>
  <si>
    <t>Poatina</t>
  </si>
  <si>
    <t>Block, Mount</t>
  </si>
  <si>
    <t>Block</t>
  </si>
  <si>
    <t>Blue Hill</t>
  </si>
  <si>
    <t>Cluny</t>
  </si>
  <si>
    <t>Blue Peak</t>
  </si>
  <si>
    <t>Folly</t>
  </si>
  <si>
    <t>Blue Peaks</t>
  </si>
  <si>
    <t>Blumont</t>
  </si>
  <si>
    <t>Nawbowla</t>
  </si>
  <si>
    <t>Dorset</t>
  </si>
  <si>
    <t>Bobs Knobs</t>
  </si>
  <si>
    <t>Bobs</t>
  </si>
  <si>
    <t>Bobs, Mount</t>
  </si>
  <si>
    <t>Boiler Plates</t>
  </si>
  <si>
    <t>Bolton, Mount</t>
  </si>
  <si>
    <t>Lily</t>
  </si>
  <si>
    <t>Bonds Craig</t>
  </si>
  <si>
    <t>Wylds</t>
  </si>
  <si>
    <t>Bonds Hill</t>
  </si>
  <si>
    <t>Boomerang, The</t>
  </si>
  <si>
    <t>Bounty, Mount</t>
  </si>
  <si>
    <t>Adventure Bay</t>
  </si>
  <si>
    <t>Bowes, Mount</t>
  </si>
  <si>
    <t>Bowes</t>
  </si>
  <si>
    <t>Braddon, Mount</t>
  </si>
  <si>
    <t>Legge</t>
  </si>
  <si>
    <t xml:space="preserve">Hill </t>
  </si>
  <si>
    <t>Bradys Sugarloaf</t>
  </si>
  <si>
    <t>Echo</t>
  </si>
  <si>
    <t>Brazen Nose</t>
  </si>
  <si>
    <t>Brewery Knob</t>
  </si>
  <si>
    <t>Bridges, Mount</t>
  </si>
  <si>
    <t>Dobson</t>
  </si>
  <si>
    <t>Briggs Bluff</t>
  </si>
  <si>
    <t>Darwin</t>
  </si>
  <si>
    <t>Brock, Mount</t>
  </si>
  <si>
    <t>Cox</t>
  </si>
  <si>
    <t>Broken Bluff</t>
  </si>
  <si>
    <t>Brown Mountain</t>
  </si>
  <si>
    <t>Ellendale</t>
  </si>
  <si>
    <t>Buckland</t>
  </si>
  <si>
    <t>Bruche, Mount</t>
  </si>
  <si>
    <t>Faddens</t>
  </si>
  <si>
    <t>Bruny, Mount</t>
  </si>
  <si>
    <t>Cloudy</t>
  </si>
  <si>
    <t>Burgess Bluff</t>
  </si>
  <si>
    <t>Burns Hill</t>
  </si>
  <si>
    <t>Burns Peak</t>
  </si>
  <si>
    <t>Parsons</t>
  </si>
  <si>
    <t>Burns Pinnacles</t>
  </si>
  <si>
    <t>Burrows, Mount</t>
  </si>
  <si>
    <t>Whiteford</t>
  </si>
  <si>
    <t>Butchers Peak</t>
  </si>
  <si>
    <t>Butlers Hill</t>
  </si>
  <si>
    <t>Buzzietop</t>
  </si>
  <si>
    <t>Longley</t>
  </si>
  <si>
    <t>Byatts Razorback</t>
  </si>
  <si>
    <t>Byron, Mount</t>
  </si>
  <si>
    <t>Olympus</t>
  </si>
  <si>
    <t>Calder, Mount</t>
  </si>
  <si>
    <t>Calders Lookout</t>
  </si>
  <si>
    <t>Calf, The</t>
  </si>
  <si>
    <t>Calvary, Mount</t>
  </si>
  <si>
    <t>Runnymede</t>
  </si>
  <si>
    <t>Camel, The</t>
  </si>
  <si>
    <t>Spire</t>
  </si>
  <si>
    <t>Cameron, Mount</t>
  </si>
  <si>
    <t>Monarch</t>
  </si>
  <si>
    <t>Camp Hill</t>
  </si>
  <si>
    <t>Goulds</t>
  </si>
  <si>
    <t>Campbell, Mount</t>
  </si>
  <si>
    <t>Campbells Hill</t>
  </si>
  <si>
    <t>Roys</t>
  </si>
  <si>
    <t>Canning Peak</t>
  </si>
  <si>
    <t>Canopus, Mount</t>
  </si>
  <si>
    <t>Capella Crags</t>
  </si>
  <si>
    <t>Crossing</t>
  </si>
  <si>
    <t>Capricorn, Mount</t>
  </si>
  <si>
    <t>Careless, Mount</t>
  </si>
  <si>
    <t>Exeter</t>
  </si>
  <si>
    <t>West Tamar</t>
  </si>
  <si>
    <t>Carina Peak</t>
  </si>
  <si>
    <t>Cartwright, Mount</t>
  </si>
  <si>
    <t>Lamont</t>
  </si>
  <si>
    <t>Castle Cary</t>
  </si>
  <si>
    <t>Hanleth</t>
  </si>
  <si>
    <t>Castle Crag/Falling Mtn</t>
  </si>
  <si>
    <t>Castle Hill (North)</t>
  </si>
  <si>
    <t>Davey</t>
  </si>
  <si>
    <t>Castle Mountain</t>
  </si>
  <si>
    <t>Dome</t>
  </si>
  <si>
    <t>Castor, Mount</t>
  </si>
  <si>
    <t>Federation</t>
  </si>
  <si>
    <t>Cathcart Bluff</t>
  </si>
  <si>
    <t>Cathedral Mountain</t>
  </si>
  <si>
    <t>Cathedral Rock</t>
  </si>
  <si>
    <t>Rock</t>
  </si>
  <si>
    <t>Cattley, Mount</t>
  </si>
  <si>
    <t>Cawthorn, Mount</t>
  </si>
  <si>
    <t>Solitary</t>
  </si>
  <si>
    <t>Celtic Hill</t>
  </si>
  <si>
    <t>Centaurus Ridge</t>
  </si>
  <si>
    <t>Central Peak</t>
  </si>
  <si>
    <t>Centre Star</t>
  </si>
  <si>
    <t>Pokana</t>
  </si>
  <si>
    <t>Chapman, Mount</t>
  </si>
  <si>
    <t>Charles, Mount</t>
  </si>
  <si>
    <t>Charter, Mount</t>
  </si>
  <si>
    <t>Charter</t>
  </si>
  <si>
    <t>Cheyne Range</t>
  </si>
  <si>
    <t>Collingwood</t>
  </si>
  <si>
    <t>Chimera, The</t>
  </si>
  <si>
    <t>Chin, The</t>
  </si>
  <si>
    <t>Chinners Lookout</t>
  </si>
  <si>
    <t>Christie, Mount</t>
  </si>
  <si>
    <t>Church Peak</t>
  </si>
  <si>
    <t>Cinder Hill</t>
  </si>
  <si>
    <t>Maconochie</t>
  </si>
  <si>
    <t>Circinus Peaks</t>
  </si>
  <si>
    <t>Giblin</t>
  </si>
  <si>
    <t>Citadel, The</t>
  </si>
  <si>
    <t>Clark, Mount</t>
  </si>
  <si>
    <t>Clarks Timber</t>
  </si>
  <si>
    <t>Split Rock</t>
  </si>
  <si>
    <t>Claude, Mount</t>
  </si>
  <si>
    <t>Clear Hill</t>
  </si>
  <si>
    <t>Tiger</t>
  </si>
  <si>
    <t>Cleft Peak</t>
  </si>
  <si>
    <t>Clemes Peak</t>
  </si>
  <si>
    <t>Tarrana</t>
  </si>
  <si>
    <t>Cleveland, Mount</t>
  </si>
  <si>
    <t>Cluan Tiers</t>
  </si>
  <si>
    <t>Liffey</t>
  </si>
  <si>
    <t>Clumner Bluff</t>
  </si>
  <si>
    <t>Rowallan</t>
  </si>
  <si>
    <t>Clytemnestra</t>
  </si>
  <si>
    <t>Vera</t>
  </si>
  <si>
    <t>Coal Hill</t>
  </si>
  <si>
    <t>Coal River Sugarloaf</t>
  </si>
  <si>
    <t>Tea Tree</t>
  </si>
  <si>
    <t>Coalmine Crag</t>
  </si>
  <si>
    <t>Cockscomb, The</t>
  </si>
  <si>
    <t>Precipitous</t>
  </si>
  <si>
    <t>Collins Bonnet</t>
  </si>
  <si>
    <t>Collins Cap</t>
  </si>
  <si>
    <t>Columba, Mount</t>
  </si>
  <si>
    <t>Communication, Mount</t>
  </si>
  <si>
    <t>Communication</t>
  </si>
  <si>
    <t>Companion Hill</t>
  </si>
  <si>
    <t>Parrawe</t>
  </si>
  <si>
    <t>Burnie</t>
  </si>
  <si>
    <t>Companion Range</t>
  </si>
  <si>
    <t>Conglomerate Peak</t>
  </si>
  <si>
    <t>Conical Mountain</t>
  </si>
  <si>
    <t>Connection, Mount</t>
  </si>
  <si>
    <t>Leake</t>
  </si>
  <si>
    <t>Convent Hill</t>
  </si>
  <si>
    <t>Convict Peak</t>
  </si>
  <si>
    <t>Cook, Mount</t>
  </si>
  <si>
    <t>Corfe Castle</t>
  </si>
  <si>
    <t>Majors</t>
  </si>
  <si>
    <t>Corner Peak</t>
  </si>
  <si>
    <t>Coronation Peak</t>
  </si>
  <si>
    <t>Rookery</t>
  </si>
  <si>
    <t>Coronets, The</t>
  </si>
  <si>
    <t>McPartlan</t>
  </si>
  <si>
    <t>Counsel, Mount</t>
  </si>
  <si>
    <t>Warnes</t>
  </si>
  <si>
    <t>Counsels Peak</t>
  </si>
  <si>
    <t>Courtney Hill</t>
  </si>
  <si>
    <t>Cow, The</t>
  </si>
  <si>
    <t>Cowies Bluff</t>
  </si>
  <si>
    <t>St Pauls Dome</t>
  </si>
  <si>
    <t>Cracroft Hills</t>
  </si>
  <si>
    <t>McCall</t>
  </si>
  <si>
    <t>Cracroft, Mount</t>
  </si>
  <si>
    <t>Cradle Hill</t>
  </si>
  <si>
    <t>Penny</t>
  </si>
  <si>
    <t>Cradle Mountain</t>
  </si>
  <si>
    <t>Crag Peak</t>
  </si>
  <si>
    <t>Mawbanna</t>
  </si>
  <si>
    <t>Crags of Andromeda</t>
  </si>
  <si>
    <t>Craigow Hill</t>
  </si>
  <si>
    <t>Hobart</t>
  </si>
  <si>
    <t>Clarence</t>
  </si>
  <si>
    <t>Cramps Sugarloaf</t>
  </si>
  <si>
    <t>Crater Peak</t>
  </si>
  <si>
    <t>Crescent Mountain</t>
  </si>
  <si>
    <t>Crest Range</t>
  </si>
  <si>
    <t>Cripps, Mount</t>
  </si>
  <si>
    <t>Crooke, Mount</t>
  </si>
  <si>
    <t>Cuckoo Hill</t>
  </si>
  <si>
    <t>Springfield</t>
  </si>
  <si>
    <t>Cullen, Mount</t>
  </si>
  <si>
    <t>Cunninghams Knoll</t>
  </si>
  <si>
    <t>Cupola, The</t>
  </si>
  <si>
    <t>Curate Bluff</t>
  </si>
  <si>
    <t>Curly, Mount</t>
  </si>
  <si>
    <t>Curran, Mount</t>
  </si>
  <si>
    <t>Melaleuca</t>
  </si>
  <si>
    <t>Cuvier, Mount</t>
  </si>
  <si>
    <t>Cygnet, Mount</t>
  </si>
  <si>
    <t>Lymington</t>
  </si>
  <si>
    <t>Cyril, Mount</t>
  </si>
  <si>
    <t>D'Arcys Bluff</t>
  </si>
  <si>
    <t>D'Arcys</t>
  </si>
  <si>
    <t>Daedalus, Mount</t>
  </si>
  <si>
    <t>Schouten</t>
  </si>
  <si>
    <t>Darkes Peak</t>
  </si>
  <si>
    <t>Wayatinah</t>
  </si>
  <si>
    <t>Darwin, Mount</t>
  </si>
  <si>
    <t>Davis Lookout</t>
  </si>
  <si>
    <t>Dawson, Mount</t>
  </si>
  <si>
    <t>Gordonvale</t>
  </si>
  <si>
    <t>Dazzler Range</t>
  </si>
  <si>
    <t>Harford</t>
  </si>
  <si>
    <t>Dazzler, The</t>
  </si>
  <si>
    <t>Dean Bluff</t>
  </si>
  <si>
    <t>Deception Point</t>
  </si>
  <si>
    <t>Dells Bluff</t>
  </si>
  <si>
    <t>Den Hill</t>
  </si>
  <si>
    <t>Diamond</t>
  </si>
  <si>
    <t>Denison Crag</t>
  </si>
  <si>
    <t>Detached Peak</t>
  </si>
  <si>
    <t>View</t>
  </si>
  <si>
    <t>Detention Peak</t>
  </si>
  <si>
    <t>Milabena</t>
  </si>
  <si>
    <t>Devils Backbone</t>
  </si>
  <si>
    <t>Devils Thumb</t>
  </si>
  <si>
    <t>Dial, Mount</t>
  </si>
  <si>
    <t>Stowport</t>
  </si>
  <si>
    <t>Dial, The</t>
  </si>
  <si>
    <t>Diamond Peak</t>
  </si>
  <si>
    <t>Diamond Tier</t>
  </si>
  <si>
    <t>Dipwood, Mount</t>
  </si>
  <si>
    <t>Direction, Mount</t>
  </si>
  <si>
    <t>Lilydale</t>
  </si>
  <si>
    <t>Georgetown</t>
  </si>
  <si>
    <t>Richmond</t>
  </si>
  <si>
    <t>Discovery, Mount</t>
  </si>
  <si>
    <t>D'Aguilar</t>
  </si>
  <si>
    <t>Dismal, Mount</t>
  </si>
  <si>
    <t>Doctors Peak, The</t>
  </si>
  <si>
    <t>Binalong</t>
  </si>
  <si>
    <t>Dog Hill</t>
  </si>
  <si>
    <t>Dogshead Crag</t>
  </si>
  <si>
    <t>Dome Hill</t>
  </si>
  <si>
    <t>Pillans</t>
  </si>
  <si>
    <t>Domesday Bluff</t>
  </si>
  <si>
    <t>Donaldson, Mount</t>
  </si>
  <si>
    <t>Interview</t>
  </si>
  <si>
    <t>Dorado Peak</t>
  </si>
  <si>
    <t>Doris, Mount</t>
  </si>
  <si>
    <t>Double Peak</t>
  </si>
  <si>
    <t>Barretts</t>
  </si>
  <si>
    <t>Douglas, Mount</t>
  </si>
  <si>
    <t>Woodsdale</t>
  </si>
  <si>
    <t>Dove, Mount</t>
  </si>
  <si>
    <t>Dromedary, Mount</t>
  </si>
  <si>
    <t>Broadmarsh</t>
  </si>
  <si>
    <t>Druids Hill</t>
  </si>
  <si>
    <t>Drys Bluff</t>
  </si>
  <si>
    <t>Du Cane Range</t>
  </si>
  <si>
    <t>Duncan, Mount</t>
  </si>
  <si>
    <t>Riana</t>
  </si>
  <si>
    <t>Dundas, Mount</t>
  </si>
  <si>
    <t>Dundas</t>
  </si>
  <si>
    <t>Durham, Mount</t>
  </si>
  <si>
    <t>St Marys</t>
  </si>
  <si>
    <t>Eardley Tor</t>
  </si>
  <si>
    <t>Castra</t>
  </si>
  <si>
    <t>East Jukes Peak</t>
  </si>
  <si>
    <t>Owen</t>
  </si>
  <si>
    <t>East Portal</t>
  </si>
  <si>
    <t>Edgecombe, Mount</t>
  </si>
  <si>
    <t>Edith, Mount</t>
  </si>
  <si>
    <t>Lagoon</t>
  </si>
  <si>
    <t>Edwards Peak</t>
  </si>
  <si>
    <t>Eldon Bluff</t>
  </si>
  <si>
    <t>Eldon Peak</t>
  </si>
  <si>
    <t>Eldon Range</t>
  </si>
  <si>
    <t>Eleanor, Mount</t>
  </si>
  <si>
    <t>Osmund</t>
  </si>
  <si>
    <t>Elephant, Mount</t>
  </si>
  <si>
    <t>Ironhouse</t>
  </si>
  <si>
    <t>Eliza Bluff</t>
  </si>
  <si>
    <t>Eliza, Mount</t>
  </si>
  <si>
    <t>Elliot Range</t>
  </si>
  <si>
    <t>Limekiln</t>
  </si>
  <si>
    <t>Emma, Mount</t>
  </si>
  <si>
    <t>Emmett, Mount</t>
  </si>
  <si>
    <t>Endurance Bluff</t>
  </si>
  <si>
    <t>Eros, Mount</t>
  </si>
  <si>
    <t>Esperance Peak</t>
  </si>
  <si>
    <t>Esperance, Mount</t>
  </si>
  <si>
    <t>Dover</t>
  </si>
  <si>
    <t>Espies Craig</t>
  </si>
  <si>
    <t>Elderslie</t>
  </si>
  <si>
    <t>Eve Peak</t>
  </si>
  <si>
    <t>Everett, Mount</t>
  </si>
  <si>
    <t>Loyetea</t>
  </si>
  <si>
    <t>False Dome</t>
  </si>
  <si>
    <t>Farrell, Mount</t>
  </si>
  <si>
    <t>Faulkner, Mount</t>
  </si>
  <si>
    <t>New Norfolk</t>
  </si>
  <si>
    <t>Federation Peak</t>
  </si>
  <si>
    <t>Fergus Bluff</t>
  </si>
  <si>
    <t>Olive</t>
  </si>
  <si>
    <t>Field East, Mount</t>
  </si>
  <si>
    <t>Field West, Mount</t>
  </si>
  <si>
    <t>Fincham, Mount</t>
  </si>
  <si>
    <t>Fisher Bluff</t>
  </si>
  <si>
    <t>Fishers Sugarloaf</t>
  </si>
  <si>
    <t>Fishers Tier</t>
  </si>
  <si>
    <t>Five Mile Pinnacles</t>
  </si>
  <si>
    <t>Flame Peak</t>
  </si>
  <si>
    <t>Flat Bluff</t>
  </si>
  <si>
    <t>Flat Iron Hill</t>
  </si>
  <si>
    <t>Table</t>
  </si>
  <si>
    <t>Florentine Peak</t>
  </si>
  <si>
    <t>Folded Range</t>
  </si>
  <si>
    <t>Fordon Bluff</t>
  </si>
  <si>
    <t>Nile</t>
  </si>
  <si>
    <t>Forestier, Mount</t>
  </si>
  <si>
    <t>Murdunna</t>
  </si>
  <si>
    <t>Fortescue, Mount</t>
  </si>
  <si>
    <t>Forty Lakes Peak</t>
  </si>
  <si>
    <t>Fossey Mountains</t>
  </si>
  <si>
    <t>Foster, Mount</t>
  </si>
  <si>
    <t>Four Peaks 1</t>
  </si>
  <si>
    <t>Four Peaks 2</t>
  </si>
  <si>
    <t>Four Peaks 3</t>
  </si>
  <si>
    <t>Four Peaks 4</t>
  </si>
  <si>
    <t>Frances Bluff</t>
  </si>
  <si>
    <t>Frankland Peak</t>
  </si>
  <si>
    <t>Frankland, Mount</t>
  </si>
  <si>
    <t>Franklin Hills</t>
  </si>
  <si>
    <t>Franklin, Mount</t>
  </si>
  <si>
    <t>Frederick, Mount</t>
  </si>
  <si>
    <t>Weld</t>
  </si>
  <si>
    <t>Freezing Hill</t>
  </si>
  <si>
    <t>Frenchmans Cap</t>
  </si>
  <si>
    <t>Freycinet, Mount</t>
  </si>
  <si>
    <t>Graham</t>
  </si>
  <si>
    <t>Frog Hill</t>
  </si>
  <si>
    <t>Fulton, Mount</t>
  </si>
  <si>
    <t>Fury Gorge Prospect</t>
  </si>
  <si>
    <t>Gables, The</t>
  </si>
  <si>
    <t>Gaffney, Mount</t>
  </si>
  <si>
    <t>Propsting</t>
  </si>
  <si>
    <t>Gap Peak</t>
  </si>
  <si>
    <t>Gatepost, The</t>
  </si>
  <si>
    <t>Geeves Bluff</t>
  </si>
  <si>
    <t>Geikie, Mount</t>
  </si>
  <si>
    <t>Gell, Mount</t>
  </si>
  <si>
    <t>Geryon (North), Mount</t>
  </si>
  <si>
    <t>Geryon (South Spur), Mount</t>
  </si>
  <si>
    <t>Spur</t>
  </si>
  <si>
    <t>Geryon (South), Mount</t>
  </si>
  <si>
    <t>Gibbins, Mount</t>
  </si>
  <si>
    <t>Tarraleah</t>
  </si>
  <si>
    <t>Giblin Peak</t>
  </si>
  <si>
    <t>Giblin, Mount</t>
  </si>
  <si>
    <t>Gibsons Hill</t>
  </si>
  <si>
    <t>Gilwell Peak</t>
  </si>
  <si>
    <t>Tunbridge</t>
  </si>
  <si>
    <t>Glovers Bluff</t>
  </si>
  <si>
    <t>Nevada</t>
  </si>
  <si>
    <t>Gnomon, Mount</t>
  </si>
  <si>
    <t>Gog Range</t>
  </si>
  <si>
    <t>Gog</t>
  </si>
  <si>
    <t>Goodwins Peak</t>
  </si>
  <si>
    <t>Gooseneck Hill</t>
  </si>
  <si>
    <t>Gould, Mount</t>
  </si>
  <si>
    <t>Goulds Sugarloaf</t>
  </si>
  <si>
    <t>Graham, Mount</t>
  </si>
  <si>
    <t>Granite Tor</t>
  </si>
  <si>
    <t>Grasstree Hill</t>
  </si>
  <si>
    <t>Great Dome</t>
  </si>
  <si>
    <t>Great Pine Tier</t>
  </si>
  <si>
    <t>Ada</t>
  </si>
  <si>
    <t>Green Bluff</t>
  </si>
  <si>
    <t>Green Head</t>
  </si>
  <si>
    <t>Green Hill</t>
  </si>
  <si>
    <t>Grey Mountain</t>
  </si>
  <si>
    <t>Cygnet</t>
  </si>
  <si>
    <t>Greycap</t>
  </si>
  <si>
    <t>Greystone Bluff</t>
  </si>
  <si>
    <t>Grosse, Mount</t>
  </si>
  <si>
    <t>Grunter, The</t>
  </si>
  <si>
    <t>Mole Creek</t>
  </si>
  <si>
    <t>Guardians, The</t>
  </si>
  <si>
    <t>Gum Top</t>
  </si>
  <si>
    <t>Montana</t>
  </si>
  <si>
    <t>Gunners Quoin</t>
  </si>
  <si>
    <t>Brighton</t>
  </si>
  <si>
    <t>Hadmar, Mount</t>
  </si>
  <si>
    <t>Haldane Peak</t>
  </si>
  <si>
    <t>Hamilton Crags</t>
  </si>
  <si>
    <t>Hamilton, Mount</t>
  </si>
  <si>
    <t>Hampden Bluff</t>
  </si>
  <si>
    <t>Evandale</t>
  </si>
  <si>
    <t>Hansons Peak</t>
  </si>
  <si>
    <t>Harold, Mount</t>
  </si>
  <si>
    <t>Harrys Bluff</t>
  </si>
  <si>
    <t>Hartnett, Mount</t>
  </si>
  <si>
    <t>Will</t>
  </si>
  <si>
    <t>Hartz Peak</t>
  </si>
  <si>
    <t>Waterloo</t>
  </si>
  <si>
    <t>Hartz Peak (West)</t>
  </si>
  <si>
    <t>Hauland, Mount</t>
  </si>
  <si>
    <t>Havelock Bluff</t>
  </si>
  <si>
    <t>De Witt</t>
  </si>
  <si>
    <t>Hayes, Mount</t>
  </si>
  <si>
    <t>Hazelton, Mount</t>
  </si>
  <si>
    <t>Hean, Mount</t>
  </si>
  <si>
    <t>Heap of Rocks</t>
  </si>
  <si>
    <t>Heemskirk, Mount</t>
  </si>
  <si>
    <t>Heeneys Bluff</t>
  </si>
  <si>
    <t>Heimdall Crag</t>
  </si>
  <si>
    <t>Helder, Mount</t>
  </si>
  <si>
    <t>Helen Peak</t>
  </si>
  <si>
    <t>Helen, Mount</t>
  </si>
  <si>
    <t>Henry, Mount</t>
  </si>
  <si>
    <t>Henrys Bluff</t>
  </si>
  <si>
    <t>Millers</t>
  </si>
  <si>
    <t>Hermit Hill</t>
  </si>
  <si>
    <t>Herringback</t>
  </si>
  <si>
    <t>Huonville</t>
  </si>
  <si>
    <t>Hesperus, Mount</t>
  </si>
  <si>
    <t>Hibbertia Hill</t>
  </si>
  <si>
    <t>Gladstone</t>
  </si>
  <si>
    <t>High Dome</t>
  </si>
  <si>
    <t>High Rocky Peak</t>
  </si>
  <si>
    <t>High Round Mountain</t>
  </si>
  <si>
    <t>High Spire</t>
  </si>
  <si>
    <t>High Tor</t>
  </si>
  <si>
    <t>Hippo, The</t>
  </si>
  <si>
    <t>Leprena</t>
  </si>
  <si>
    <t>Hippogriff, The</t>
  </si>
  <si>
    <t>Hobbs, Mount</t>
  </si>
  <si>
    <t>Hobhouse, Mount</t>
  </si>
  <si>
    <t>Hodges Spur</t>
  </si>
  <si>
    <t>Ringarooma</t>
  </si>
  <si>
    <t>Hogg Hill</t>
  </si>
  <si>
    <t>Rossarden</t>
  </si>
  <si>
    <t>Holloway, Mount</t>
  </si>
  <si>
    <t>Hopetoun, Mount</t>
  </si>
  <si>
    <t>Horizontal Hill</t>
  </si>
  <si>
    <t>Horror, Mount</t>
  </si>
  <si>
    <t>Pioneer</t>
  </si>
  <si>
    <t>Housetop, Mount</t>
  </si>
  <si>
    <t>Howells Bluff</t>
  </si>
  <si>
    <t>Hugel, Mount</t>
  </si>
  <si>
    <t>Hull, Mount</t>
  </si>
  <si>
    <t>Humboldt, Mount</t>
  </si>
  <si>
    <t>Lancelot</t>
  </si>
  <si>
    <t>Huntsmans Cap</t>
  </si>
  <si>
    <t>Dublin Town</t>
  </si>
  <si>
    <t>Huxley, Mount</t>
  </si>
  <si>
    <t>Hyperion, Mount</t>
  </si>
  <si>
    <t>Ibsens Peak</t>
  </si>
  <si>
    <t>Adamsfield</t>
  </si>
  <si>
    <t>Ida, Mount</t>
  </si>
  <si>
    <t>Inglis, Mount</t>
  </si>
  <si>
    <t>Innes High Rocky</t>
  </si>
  <si>
    <t>Innes Peak</t>
  </si>
  <si>
    <t>Innes</t>
  </si>
  <si>
    <t>Interview Pinnacle</t>
  </si>
  <si>
    <t>Ironbound Range</t>
  </si>
  <si>
    <t>Louisa</t>
  </si>
  <si>
    <t>Ironstone Mountain</t>
  </si>
  <si>
    <t>Jackson, Mount</t>
  </si>
  <si>
    <t>Lonnavale</t>
  </si>
  <si>
    <t>Jacob, Mount</t>
  </si>
  <si>
    <t>Kellevie</t>
  </si>
  <si>
    <t>Sorell</t>
  </si>
  <si>
    <t>Jean, Mount</t>
  </si>
  <si>
    <t>Jerusalem, Mount</t>
  </si>
  <si>
    <t>Jilletts Tier</t>
  </si>
  <si>
    <t>Jim Brown, Mount</t>
  </si>
  <si>
    <t>Johnstones Peak</t>
  </si>
  <si>
    <t>Jubilee Range</t>
  </si>
  <si>
    <t>Skeleton</t>
  </si>
  <si>
    <t>Jubilee, Mount</t>
  </si>
  <si>
    <t>Judds Bluff</t>
  </si>
  <si>
    <t>Judith, Mount</t>
  </si>
  <si>
    <t>Jukes, Mount</t>
  </si>
  <si>
    <t>Julia Peak</t>
  </si>
  <si>
    <t>Julia, Mount</t>
  </si>
  <si>
    <t>Junction Peak</t>
  </si>
  <si>
    <t>Karamu, Mount</t>
  </si>
  <si>
    <t>Telopea</t>
  </si>
  <si>
    <t>Kate, Mount</t>
  </si>
  <si>
    <t>Kemps Hill</t>
  </si>
  <si>
    <t>Lloyd</t>
  </si>
  <si>
    <t>Kerford, Mount</t>
  </si>
  <si>
    <t>Kerferd</t>
  </si>
  <si>
    <t>Kershaw, Mount</t>
  </si>
  <si>
    <t>Killiecrankie, Mount</t>
  </si>
  <si>
    <t>Palana</t>
  </si>
  <si>
    <t>Kimberleys Lookout</t>
  </si>
  <si>
    <t>Railton</t>
  </si>
  <si>
    <t>King Davids Peak</t>
  </si>
  <si>
    <t>King William I, Mount</t>
  </si>
  <si>
    <t>King William II, Mount</t>
  </si>
  <si>
    <t>King William III, Mount</t>
  </si>
  <si>
    <t>King, Mount</t>
  </si>
  <si>
    <t>Kings Hill</t>
  </si>
  <si>
    <t>Kingstone, Mount</t>
  </si>
  <si>
    <t>O'Connors</t>
  </si>
  <si>
    <t>Knife Mountain</t>
  </si>
  <si>
    <t>Knobs (North), The</t>
  </si>
  <si>
    <t>Knobs (South), The</t>
  </si>
  <si>
    <t>Knuckle, The</t>
  </si>
  <si>
    <t>Koonya, Mount</t>
  </si>
  <si>
    <t>Koruna Peak</t>
  </si>
  <si>
    <t>La Perouse, Mount</t>
  </si>
  <si>
    <t>Lake Mountain</t>
  </si>
  <si>
    <t>Lake Nicholls Prospect</t>
  </si>
  <si>
    <t>Lamonts Lookout</t>
  </si>
  <si>
    <t>Lanes Peak</t>
  </si>
  <si>
    <t>Last Hill</t>
  </si>
  <si>
    <t>Layatinna Hill</t>
  </si>
  <si>
    <t>Lee, Mount</t>
  </si>
  <si>
    <t>Legge, Mount</t>
  </si>
  <si>
    <t>Legges Tor</t>
  </si>
  <si>
    <t>Leillateah, Mount</t>
  </si>
  <si>
    <t>Leslie, Mount</t>
  </si>
  <si>
    <t>Tewkesbury</t>
  </si>
  <si>
    <t>Leventhorpe, Mount</t>
  </si>
  <si>
    <t>Leventhorpe</t>
  </si>
  <si>
    <t>Lewis, Mount</t>
  </si>
  <si>
    <t>Moores</t>
  </si>
  <si>
    <t>Liffey Bluff</t>
  </si>
  <si>
    <t>Lightning Ridge</t>
  </si>
  <si>
    <t>Lily, Mount</t>
  </si>
  <si>
    <t>Lindsay, Mount</t>
  </si>
  <si>
    <t>Livingstone</t>
  </si>
  <si>
    <t>Lion, The</t>
  </si>
  <si>
    <t>Lionheart Crag</t>
  </si>
  <si>
    <t>Lions Head</t>
  </si>
  <si>
    <t>Little Billopp</t>
  </si>
  <si>
    <t>Little Cinder Hill</t>
  </si>
  <si>
    <t>Little Eldons</t>
  </si>
  <si>
    <t>Gormanston</t>
  </si>
  <si>
    <t>Little Farrell</t>
  </si>
  <si>
    <t>Little Horn</t>
  </si>
  <si>
    <t>Little Hugel</t>
  </si>
  <si>
    <t>Little Owen</t>
  </si>
  <si>
    <t>Little Peak</t>
  </si>
  <si>
    <t>Little Quoin</t>
  </si>
  <si>
    <t>Little Split Rock</t>
  </si>
  <si>
    <t>Little Sugarloaf</t>
  </si>
  <si>
    <t>Little Throne</t>
  </si>
  <si>
    <t>Mersey Valley</t>
  </si>
  <si>
    <t>Littlechild, Mount</t>
  </si>
  <si>
    <t>Blue Tier</t>
  </si>
  <si>
    <t>Livingstone, Mount</t>
  </si>
  <si>
    <t>Llewellyn, Mount</t>
  </si>
  <si>
    <t>Lloyd Jones, Mount</t>
  </si>
  <si>
    <t>Lloyd, Mount</t>
  </si>
  <si>
    <t>Loddon Bluff</t>
  </si>
  <si>
    <t>Lofty, Mount</t>
  </si>
  <si>
    <t>Tooms</t>
  </si>
  <si>
    <t>Loila Tier</t>
  </si>
  <si>
    <t>Beamaris (Scamander)</t>
  </si>
  <si>
    <t>Longback, The</t>
  </si>
  <si>
    <t>Meredith</t>
  </si>
  <si>
    <t>Lookout Hill</t>
  </si>
  <si>
    <t>Loongana Range</t>
  </si>
  <si>
    <t>Lord (South), Mount</t>
  </si>
  <si>
    <t>Lord, Mount</t>
  </si>
  <si>
    <t>Lorkins Lookout</t>
  </si>
  <si>
    <t>Lorymer, Mount</t>
  </si>
  <si>
    <t>Lot</t>
  </si>
  <si>
    <t>Lots Wife</t>
  </si>
  <si>
    <t xml:space="preserve">Mountain </t>
  </si>
  <si>
    <t>Louisa, Mount</t>
  </si>
  <si>
    <t>Lowes Mount</t>
  </si>
  <si>
    <t>Loyetea Peak</t>
  </si>
  <si>
    <t>Lyell, Mount</t>
  </si>
  <si>
    <t>Lyne, Mount</t>
  </si>
  <si>
    <t>Lynes Sugarloaf</t>
  </si>
  <si>
    <t>Apslawn</t>
  </si>
  <si>
    <t>Mabel, Mount</t>
  </si>
  <si>
    <t>MacGregor Peak</t>
  </si>
  <si>
    <t>Mackenzie, Mount</t>
  </si>
  <si>
    <t>Mackies Hill</t>
  </si>
  <si>
    <t>Maconachie, Mount</t>
  </si>
  <si>
    <t>Macs Mountain</t>
  </si>
  <si>
    <t>Madge, Mount</t>
  </si>
  <si>
    <t>Maggs Mountain</t>
  </si>
  <si>
    <t>Magnet Crag</t>
  </si>
  <si>
    <t>Magog</t>
  </si>
  <si>
    <t>Manfred, Mount</t>
  </si>
  <si>
    <t>Mangana, Mount</t>
  </si>
  <si>
    <t>Marble Bluff</t>
  </si>
  <si>
    <t>Maria, Mount</t>
  </si>
  <si>
    <t>Marian, Mount</t>
  </si>
  <si>
    <t>Marions Lookout</t>
  </si>
  <si>
    <t>Markham Heights</t>
  </si>
  <si>
    <t>Marriotts Lookout</t>
  </si>
  <si>
    <t>Martins Tor</t>
  </si>
  <si>
    <t>Mary, Mount</t>
  </si>
  <si>
    <t>Massif, Mount</t>
  </si>
  <si>
    <t>Maud, Mount</t>
  </si>
  <si>
    <t>Maurice, Mount</t>
  </si>
  <si>
    <t>Maurice</t>
  </si>
  <si>
    <t>Mawson, Mount</t>
  </si>
  <si>
    <t>Maxwell Ridge</t>
  </si>
  <si>
    <t>Mayson, Mount</t>
  </si>
  <si>
    <t>McCall, Mount</t>
  </si>
  <si>
    <t>McCutcheon, Mount</t>
  </si>
  <si>
    <t>McKays Peak</t>
  </si>
  <si>
    <t>McPartlans Bluff</t>
  </si>
  <si>
    <t>Meander Crag</t>
  </si>
  <si>
    <t>Melaleuca, Mount</t>
  </si>
  <si>
    <t>Mensa Moor</t>
  </si>
  <si>
    <t>Plain</t>
  </si>
  <si>
    <t>Mercer, Mount</t>
  </si>
  <si>
    <t>Meredith, Mount</t>
  </si>
  <si>
    <t>Mersey Crag</t>
  </si>
  <si>
    <t>Merton, Mount</t>
  </si>
  <si>
    <t>Mesa</t>
  </si>
  <si>
    <t>Michael, Mount</t>
  </si>
  <si>
    <t>Spurrs Rivulet</t>
  </si>
  <si>
    <t>Midday Hill</t>
  </si>
  <si>
    <t>Middle Peak</t>
  </si>
  <si>
    <t>Midway, Mount</t>
  </si>
  <si>
    <t>Millers Bluff</t>
  </si>
  <si>
    <t>Milligans Peak</t>
  </si>
  <si>
    <t>Minnie, Mount</t>
  </si>
  <si>
    <t>Minotaur, The</t>
  </si>
  <si>
    <t>Miraculous, Mount</t>
  </si>
  <si>
    <t>Misery Bluff</t>
  </si>
  <si>
    <t>Misery, Mount</t>
  </si>
  <si>
    <t>Mismanagement, Mount</t>
  </si>
  <si>
    <t>Colonels</t>
  </si>
  <si>
    <t>Molly Yorks Nightcap</t>
  </si>
  <si>
    <t>Monash, Mount</t>
  </si>
  <si>
    <t>Montagu Thumbs</t>
  </si>
  <si>
    <t>Montagu, Mount</t>
  </si>
  <si>
    <t>Montgomery, Mount</t>
  </si>
  <si>
    <t>Ulverstone</t>
  </si>
  <si>
    <t>Moonlight Ridge</t>
  </si>
  <si>
    <t>Moory Mount</t>
  </si>
  <si>
    <t>Pearse</t>
  </si>
  <si>
    <t>Moriah, Mount</t>
  </si>
  <si>
    <t>Morrison Hill</t>
  </si>
  <si>
    <t>Morrison, Mount</t>
  </si>
  <si>
    <t>Morriston, Mount</t>
  </si>
  <si>
    <t>Mother Cummings Head</t>
  </si>
  <si>
    <t>Mother Cummings Peak</t>
  </si>
  <si>
    <t>Mountains of Jupiter</t>
  </si>
  <si>
    <t>Moxon Peak</t>
  </si>
  <si>
    <t>Mueller, Mount</t>
  </si>
  <si>
    <t>Mullens, Mount</t>
  </si>
  <si>
    <t>Munro, Mount</t>
  </si>
  <si>
    <t>Anderson</t>
  </si>
  <si>
    <t>Murchison, Mount</t>
  </si>
  <si>
    <t>Murphys Bluff</t>
  </si>
  <si>
    <t>Murray, Mount</t>
  </si>
  <si>
    <t>Bouganville</t>
  </si>
  <si>
    <t>Nares, Mount</t>
  </si>
  <si>
    <t>Naturalist Peak</t>
  </si>
  <si>
    <t>Needles, The</t>
  </si>
  <si>
    <t>Nells Bluff</t>
  </si>
  <si>
    <t>Nereus, Mount</t>
  </si>
  <si>
    <t>Nescient Peak</t>
  </si>
  <si>
    <t>Peak</t>
  </si>
  <si>
    <t>Nevada Peak</t>
  </si>
  <si>
    <t>New Harbour Range</t>
  </si>
  <si>
    <t>Newton Peak</t>
  </si>
  <si>
    <t>Nicholas, Mount</t>
  </si>
  <si>
    <t>Nicholls Range</t>
  </si>
  <si>
    <t>Olegas</t>
  </si>
  <si>
    <t>Nicholls, Mount</t>
  </si>
  <si>
    <t>Nisbet, Mount</t>
  </si>
  <si>
    <t>Pyengana</t>
  </si>
  <si>
    <t>Norfolk, Mount</t>
  </si>
  <si>
    <t>Norman Bluff</t>
  </si>
  <si>
    <t>Norold, Mount</t>
  </si>
  <si>
    <t>North Owen Peak</t>
  </si>
  <si>
    <t>North Star</t>
  </si>
  <si>
    <t>North Thumb</t>
  </si>
  <si>
    <t>Norths Hill</t>
  </si>
  <si>
    <t>Northumbria Hill</t>
  </si>
  <si>
    <t>Norway, Mount</t>
  </si>
  <si>
    <t>O'Boyles Sugarloaf</t>
  </si>
  <si>
    <t>O'Connors Peak</t>
  </si>
  <si>
    <t>Oakleigh, Mount</t>
  </si>
  <si>
    <t>Oana, Mount</t>
  </si>
  <si>
    <t>Observation Peak</t>
  </si>
  <si>
    <t>Old Bills Monument</t>
  </si>
  <si>
    <t>Old Mans Head</t>
  </si>
  <si>
    <t>Olegas Bluff</t>
  </si>
  <si>
    <t>Olivers Hill</t>
  </si>
  <si>
    <t>Olympus (North), Mount</t>
  </si>
  <si>
    <t>Olympus (South), Mount</t>
  </si>
  <si>
    <t>Ophel, Mount</t>
  </si>
  <si>
    <t>Organ Hill</t>
  </si>
  <si>
    <t>St John</t>
  </si>
  <si>
    <t>Orion, Mount</t>
  </si>
  <si>
    <t>Orthys, Mount</t>
  </si>
  <si>
    <t>Osmund, Mount</t>
  </si>
  <si>
    <t>Ossa, Mount</t>
  </si>
  <si>
    <t>Ossians Throne</t>
  </si>
  <si>
    <t>Outer Spire</t>
  </si>
  <si>
    <t>Owen, Mount</t>
  </si>
  <si>
    <t>Paddys Nut</t>
  </si>
  <si>
    <t>Pandani Knob</t>
  </si>
  <si>
    <t>Panorama Hill</t>
  </si>
  <si>
    <t>Parangana Sugarloaf</t>
  </si>
  <si>
    <t>Borradaile</t>
  </si>
  <si>
    <t>Paris, Mount</t>
  </si>
  <si>
    <t>Parmeener, Mount</t>
  </si>
  <si>
    <t>Parson and Clerk Mountain</t>
  </si>
  <si>
    <t>Parsons Hood</t>
  </si>
  <si>
    <t>Parsons, Mount</t>
  </si>
  <si>
    <t>Parthenon, The</t>
  </si>
  <si>
    <t>Patrick, Mount</t>
  </si>
  <si>
    <t>Arthurs Lake</t>
  </si>
  <si>
    <t>Pavement Bluff</t>
  </si>
  <si>
    <t>Pearse, Mount</t>
  </si>
  <si>
    <t>Pearson, Mount</t>
  </si>
  <si>
    <t>Pedder, Mount</t>
  </si>
  <si>
    <t>Peddles Hill</t>
  </si>
  <si>
    <t>Pegasus (South), Mount</t>
  </si>
  <si>
    <t>Pegasus, Mount</t>
  </si>
  <si>
    <t>Pelion East, Mount</t>
  </si>
  <si>
    <t>Pelion West, Mount</t>
  </si>
  <si>
    <t>Pencil Pine Bluff</t>
  </si>
  <si>
    <t>Pennefathers Knob</t>
  </si>
  <si>
    <t>Penny West, Mount</t>
  </si>
  <si>
    <t>Penny, Mount</t>
  </si>
  <si>
    <t>Perpendicular Mountain</t>
  </si>
  <si>
    <t>Riedle</t>
  </si>
  <si>
    <t>Perrins Bluff</t>
  </si>
  <si>
    <t>Perrys Peak</t>
  </si>
  <si>
    <t>Phantom Peak</t>
  </si>
  <si>
    <t>Philps Lookout</t>
  </si>
  <si>
    <t>Philps Peak</t>
  </si>
  <si>
    <t>Philps Ridge</t>
  </si>
  <si>
    <t>Phipps, Mount</t>
  </si>
  <si>
    <t>Phoenix, The</t>
  </si>
  <si>
    <t>Picton, Mount</t>
  </si>
  <si>
    <t>Picton</t>
  </si>
  <si>
    <t>Piguenit, Mount</t>
  </si>
  <si>
    <t>Pikes Hill</t>
  </si>
  <si>
    <t>Pillinger, Mount</t>
  </si>
  <si>
    <t>Pillingers Peak</t>
  </si>
  <si>
    <t>Pindars Peak</t>
  </si>
  <si>
    <t>Pine Knob</t>
  </si>
  <si>
    <t>Pine Lake Prospect</t>
  </si>
  <si>
    <t>Piners Peak</t>
  </si>
  <si>
    <t>Pinnacles, The</t>
  </si>
  <si>
    <t>Pitt, Mount</t>
  </si>
  <si>
    <t>Platform Peak</t>
  </si>
  <si>
    <t>Pleasant, Mount</t>
  </si>
  <si>
    <t>Pleiades, The</t>
  </si>
  <si>
    <t>Pluto Bluff</t>
  </si>
  <si>
    <t>Poimena, Mount</t>
  </si>
  <si>
    <t>Point Vision</t>
  </si>
  <si>
    <t>Pokana Peak</t>
  </si>
  <si>
    <t>Pollux, Mount</t>
  </si>
  <si>
    <t>Ponsonby, Mount</t>
  </si>
  <si>
    <t>Precipitous Bluff</t>
  </si>
  <si>
    <t>Premier Peak</t>
  </si>
  <si>
    <t>Prince Alberts Throne</t>
  </si>
  <si>
    <t>Prince of Wales Cap</t>
  </si>
  <si>
    <t>Princes Peak</t>
  </si>
  <si>
    <t>Princess Range</t>
  </si>
  <si>
    <t>Procyon Peak</t>
  </si>
  <si>
    <t>Projection Bluff</t>
  </si>
  <si>
    <t>Proprietary Peak</t>
  </si>
  <si>
    <t>Propsting Range</t>
  </si>
  <si>
    <t>Propsting, Mount</t>
  </si>
  <si>
    <t>Prospect Mountain</t>
  </si>
  <si>
    <t>Prosser Sugarloaf</t>
  </si>
  <si>
    <t>Sandspit</t>
  </si>
  <si>
    <t>Proteus, Mount</t>
  </si>
  <si>
    <t>Provis Hills</t>
  </si>
  <si>
    <t>Ray</t>
  </si>
  <si>
    <t>Punter, Mount</t>
  </si>
  <si>
    <t>Puzzler, Mount</t>
  </si>
  <si>
    <t>Pyramid Mountain</t>
  </si>
  <si>
    <t>Pyramid Peak</t>
  </si>
  <si>
    <t>Quailes Hill</t>
  </si>
  <si>
    <t>Quartzite Tor</t>
  </si>
  <si>
    <t>Quoin Mountain</t>
  </si>
  <si>
    <t>Quoin, The</t>
  </si>
  <si>
    <t>Morriston</t>
  </si>
  <si>
    <t>Ragged Jack</t>
  </si>
  <si>
    <t>Ragged Range</t>
  </si>
  <si>
    <t>Raglan Range</t>
  </si>
  <si>
    <t>Rallinga, Mount</t>
  </si>
  <si>
    <t>Ramsay, Mount</t>
  </si>
  <si>
    <t>Ramsay</t>
  </si>
  <si>
    <t>Raoul, Mount</t>
  </si>
  <si>
    <t>Rats Castle</t>
  </si>
  <si>
    <t>Rattler Hill</t>
  </si>
  <si>
    <t>Rawlinna Hill</t>
  </si>
  <si>
    <t>Ray Range</t>
  </si>
  <si>
    <t>Razorback, Mount</t>
  </si>
  <si>
    <t>Razorback, The</t>
  </si>
  <si>
    <t>Read, Mount</t>
  </si>
  <si>
    <t>Recondite Knob</t>
  </si>
  <si>
    <t>Red Hills</t>
  </si>
  <si>
    <t>Redtop Peak</t>
  </si>
  <si>
    <t>Reeds Peak</t>
  </si>
  <si>
    <t>Remote Peak</t>
  </si>
  <si>
    <t>Remus, Mount</t>
  </si>
  <si>
    <t>Retreat, The</t>
  </si>
  <si>
    <t>Reuben, Mount</t>
  </si>
  <si>
    <t>Rex, Mount</t>
  </si>
  <si>
    <t>Stanhope</t>
  </si>
  <si>
    <t>Riana, Mount</t>
  </si>
  <si>
    <t>Richea Peak</t>
  </si>
  <si>
    <t>Right Angle Peak</t>
  </si>
  <si>
    <t>Rimons Hill</t>
  </si>
  <si>
    <t>Ripple Mountain</t>
  </si>
  <si>
    <t>Ritters Crag</t>
  </si>
  <si>
    <t>Riveaux, Mount</t>
  </si>
  <si>
    <t>River Peak North</t>
  </si>
  <si>
    <t>River Peak South</t>
  </si>
  <si>
    <t>Robert, Mount</t>
  </si>
  <si>
    <t>Serpentine</t>
  </si>
  <si>
    <t>Roberts Bluff</t>
  </si>
  <si>
    <t>Robinson, Mount</t>
  </si>
  <si>
    <t>Rocky Hill</t>
  </si>
  <si>
    <t>Rocky Mount</t>
  </si>
  <si>
    <t>Rocky Sugarloaf</t>
  </si>
  <si>
    <t>Rodway Peak</t>
  </si>
  <si>
    <t>Rodway Range</t>
  </si>
  <si>
    <t>Rogoona, Mount</t>
  </si>
  <si>
    <t>Roland, Mount</t>
  </si>
  <si>
    <t>Romulus Pup</t>
  </si>
  <si>
    <t>Romulus, Mount</t>
  </si>
  <si>
    <t>Ronald Cross, Mount</t>
  </si>
  <si>
    <t>Round Mountain</t>
  </si>
  <si>
    <t>Royal, Mount</t>
  </si>
  <si>
    <t>Ruddy, Mount</t>
  </si>
  <si>
    <t>Rufus, Mount</t>
  </si>
  <si>
    <t>Rugby, Mount</t>
  </si>
  <si>
    <t>Rumney, Mount</t>
  </si>
  <si>
    <t>Saddleback, Mount</t>
  </si>
  <si>
    <t>Sale, Mount</t>
  </si>
  <si>
    <t>Sandbanks Tier</t>
  </si>
  <si>
    <t>Mountain Tier</t>
  </si>
  <si>
    <t>Sarah Jane, Mount</t>
  </si>
  <si>
    <t>Saw Back Range</t>
  </si>
  <si>
    <t>Schnells Ridge</t>
  </si>
  <si>
    <t>Scotts</t>
  </si>
  <si>
    <t>Scoparia Head</t>
  </si>
  <si>
    <t>Scorpio, Mount</t>
  </si>
  <si>
    <t>Scott, Mount</t>
  </si>
  <si>
    <t>Scotts Peak</t>
  </si>
  <si>
    <t>Scrivens Cone</t>
  </si>
  <si>
    <t>Scrubby Peak</t>
  </si>
  <si>
    <t>Sculptor, The</t>
  </si>
  <si>
    <t>Sculptured Mountain</t>
  </si>
  <si>
    <t>Seagers Lookout</t>
  </si>
  <si>
    <t>Seal, Mount</t>
  </si>
  <si>
    <t>Secheron Peak</t>
  </si>
  <si>
    <t>Sedgwick Bluff</t>
  </si>
  <si>
    <t>Sedgwick, Mount</t>
  </si>
  <si>
    <t>Selina, Mount</t>
  </si>
  <si>
    <t>Sentinel Range</t>
  </si>
  <si>
    <t>Serat, Mount</t>
  </si>
  <si>
    <t>Seymour, Mount</t>
  </si>
  <si>
    <t>Shakespeare, Mount</t>
  </si>
  <si>
    <t>Shannon Tier</t>
  </si>
  <si>
    <t>Sharks Fin, The</t>
  </si>
  <si>
    <t>Sharlands Peak</t>
  </si>
  <si>
    <t>Shaula, Mount</t>
  </si>
  <si>
    <t>Shining Mountain</t>
  </si>
  <si>
    <t>Sirius, Mount</t>
  </si>
  <si>
    <t>Skittleball Hill</t>
  </si>
  <si>
    <t>Miena</t>
  </si>
  <si>
    <t>Skyline Knoll</t>
  </si>
  <si>
    <t>Slatters Peak</t>
  </si>
  <si>
    <t>Slaughter, Mount</t>
  </si>
  <si>
    <t>Smithies Peak</t>
  </si>
  <si>
    <t>Smiths Tops</t>
  </si>
  <si>
    <t xml:space="preserve">Snake Mount </t>
  </si>
  <si>
    <t>Snake Peak</t>
  </si>
  <si>
    <t>Snow Hill</t>
  </si>
  <si>
    <t>Snow</t>
  </si>
  <si>
    <t>Snowy Knob</t>
  </si>
  <si>
    <t>Snowy North</t>
  </si>
  <si>
    <t>Snowy South</t>
  </si>
  <si>
    <t>Snowy, Mount</t>
  </si>
  <si>
    <t>Soldiers Marsh Hill</t>
  </si>
  <si>
    <t>Solitary, Mount</t>
  </si>
  <si>
    <t>Solomons Throne</t>
  </si>
  <si>
    <t>Sophia Peak</t>
  </si>
  <si>
    <t>Sorell, Mount</t>
  </si>
  <si>
    <t>Philips</t>
  </si>
  <si>
    <t>South Barrow</t>
  </si>
  <si>
    <t>South Cape Range</t>
  </si>
  <si>
    <t>Prion</t>
  </si>
  <si>
    <t>South Darwin Peak</t>
  </si>
  <si>
    <t>Engineer</t>
  </si>
  <si>
    <t>South Farrell</t>
  </si>
  <si>
    <t>South Jukes Peak</t>
  </si>
  <si>
    <t>South Mount Bowes</t>
  </si>
  <si>
    <t>South Sister</t>
  </si>
  <si>
    <t>South Star</t>
  </si>
  <si>
    <t>South Thumb</t>
  </si>
  <si>
    <t>South Wellington</t>
  </si>
  <si>
    <t>South West Cape Range</t>
  </si>
  <si>
    <t>South West Peak</t>
  </si>
  <si>
    <t>Southern Cone</t>
  </si>
  <si>
    <t>Southwell Peak</t>
  </si>
  <si>
    <t>Sphinx Bluff</t>
  </si>
  <si>
    <t>Spion Kop</t>
  </si>
  <si>
    <t>Fingal</t>
  </si>
  <si>
    <t>Spires, The</t>
  </si>
  <si>
    <t>Spode, Mount</t>
  </si>
  <si>
    <t>Sprent, Mount</t>
  </si>
  <si>
    <t>Spring Hill</t>
  </si>
  <si>
    <t>Spring Peak</t>
  </si>
  <si>
    <t>Spurling, Mount</t>
  </si>
  <si>
    <t>Square Mountain</t>
  </si>
  <si>
    <t>St John, Mount</t>
  </si>
  <si>
    <t>St Patricks Head</t>
  </si>
  <si>
    <t>St Peter, Mount</t>
  </si>
  <si>
    <t>St Peters Dome</t>
  </si>
  <si>
    <t>Vincents</t>
  </si>
  <si>
    <t>St Valentines Peak</t>
  </si>
  <si>
    <t>Stacks Bluff</t>
  </si>
  <si>
    <t>Staff Hill</t>
  </si>
  <si>
    <t>Standard Hill</t>
  </si>
  <si>
    <t>Starfish Hill</t>
  </si>
  <si>
    <t>Starvegut Hill</t>
  </si>
  <si>
    <t>Steeles Bluff</t>
  </si>
  <si>
    <t>Ellinthorp</t>
  </si>
  <si>
    <t>Stein Crags</t>
  </si>
  <si>
    <t>Stephens Hill</t>
  </si>
  <si>
    <t>Parkham</t>
  </si>
  <si>
    <t>Stepped Hills</t>
  </si>
  <si>
    <t>Stevensons Lookout</t>
  </si>
  <si>
    <t>Stewart, Mount</t>
  </si>
  <si>
    <t>Savage River</t>
  </si>
  <si>
    <t>Sticht Range</t>
  </si>
  <si>
    <t>Stokes, Mount</t>
  </si>
  <si>
    <t>Stonehenge Peak</t>
  </si>
  <si>
    <t>Stonjeks Lookout</t>
  </si>
  <si>
    <t>Stony Peak</t>
  </si>
  <si>
    <t>Stormont</t>
  </si>
  <si>
    <t>Story, Mount</t>
  </si>
  <si>
    <t>Storys Bluff</t>
  </si>
  <si>
    <t>Strahan, Mount</t>
  </si>
  <si>
    <t>Teepookana</t>
  </si>
  <si>
    <t>Stringy Bark Tier</t>
  </si>
  <si>
    <t>Blessington</t>
  </si>
  <si>
    <t>Stronach, Mount</t>
  </si>
  <si>
    <t>Scottsdale</t>
  </si>
  <si>
    <t>Strzelecki Peaks</t>
  </si>
  <si>
    <t>Loccota</t>
  </si>
  <si>
    <t>Styx, Mount</t>
  </si>
  <si>
    <t>Sumer, Mount</t>
  </si>
  <si>
    <t>Sumpters Peak</t>
  </si>
  <si>
    <t>Sunday, Mount</t>
  </si>
  <si>
    <t>Swallow, Mount</t>
  </si>
  <si>
    <t>Table Mountain</t>
  </si>
  <si>
    <t>Tanina Bluff</t>
  </si>
  <si>
    <t>Tanner, Mount</t>
  </si>
  <si>
    <t>Tanner</t>
  </si>
  <si>
    <t>Tatnells Hill</t>
  </si>
  <si>
    <t>Taurus, Mount</t>
  </si>
  <si>
    <t>Taylors Tier</t>
  </si>
  <si>
    <t>Temple, The</t>
  </si>
  <si>
    <t>Terminal Peak</t>
  </si>
  <si>
    <t>Terra, Mount</t>
  </si>
  <si>
    <t>Thark Ridge</t>
  </si>
  <si>
    <t>Thetis, Mount</t>
  </si>
  <si>
    <t>Three O'Clock Hill</t>
  </si>
  <si>
    <t>Three Sisters</t>
  </si>
  <si>
    <t>Three Thumbs</t>
  </si>
  <si>
    <t>Orford</t>
  </si>
  <si>
    <t>Thumbs, The</t>
  </si>
  <si>
    <t>Thunderbolt, Mount</t>
  </si>
  <si>
    <t>Ouse</t>
  </si>
  <si>
    <t>Thureau Hills</t>
  </si>
  <si>
    <t>Tim Shea</t>
  </si>
  <si>
    <t>Tobin, Mount</t>
  </si>
  <si>
    <t>Tods Hill</t>
  </si>
  <si>
    <t>Tonga, Mount</t>
  </si>
  <si>
    <t>Tooms, Mount</t>
  </si>
  <si>
    <t>Tor, Mount</t>
  </si>
  <si>
    <t>Tower Hill (East Tower)</t>
  </si>
  <si>
    <t>Tower Hill (West Tower)</t>
  </si>
  <si>
    <t>Mathinna</t>
  </si>
  <si>
    <t>Tramontane</t>
  </si>
  <si>
    <t>Traveller Range</t>
  </si>
  <si>
    <t>Trestle Mountain</t>
  </si>
  <si>
    <t>Trial Ridge</t>
  </si>
  <si>
    <t>Tudor Crag</t>
  </si>
  <si>
    <t>Tumble Tor</t>
  </si>
  <si>
    <t>Turrana Bluff</t>
  </si>
  <si>
    <t>Turrana Heights</t>
  </si>
  <si>
    <t>Twelvetrees Range</t>
  </si>
  <si>
    <t>Strathgordon</t>
  </si>
  <si>
    <t>Twin Spires (North)</t>
  </si>
  <si>
    <t>Twin Spires (South)</t>
  </si>
  <si>
    <t>Two Hummocks</t>
  </si>
  <si>
    <t>Tyenna Peak</t>
  </si>
  <si>
    <t>Tylers Hill</t>
  </si>
  <si>
    <t>Hastings</t>
  </si>
  <si>
    <t>Tyndall, Mount</t>
  </si>
  <si>
    <t>Vandyke, Mount</t>
  </si>
  <si>
    <t>Vero, Mount</t>
  </si>
  <si>
    <t>Vicar Bluff</t>
  </si>
  <si>
    <t>Victoria Cross, Mount</t>
  </si>
  <si>
    <t>Victoria Peak</t>
  </si>
  <si>
    <t>Victoria, Mount</t>
  </si>
  <si>
    <t>View Peak</t>
  </si>
  <si>
    <t>Vincents Hill</t>
  </si>
  <si>
    <t>Walford Peak</t>
  </si>
  <si>
    <t>Walled Mountain</t>
  </si>
  <si>
    <t>Walter, Mount</t>
  </si>
  <si>
    <t>Wards Bluff</t>
  </si>
  <si>
    <t>Warners Sugarloaf</t>
  </si>
  <si>
    <t>Wart, The</t>
  </si>
  <si>
    <t>Watcher, The</t>
  </si>
  <si>
    <t>Wayeninnah Hill</t>
  </si>
  <si>
    <t>Wedge, Mount</t>
  </si>
  <si>
    <t>Wedgetail Peak</t>
  </si>
  <si>
    <t>Weindorfers Tower</t>
  </si>
  <si>
    <t>Weld Ridge</t>
  </si>
  <si>
    <t>Weld, Mount</t>
  </si>
  <si>
    <t>Wellington, Mount</t>
  </si>
  <si>
    <t>Wentworth Hills</t>
  </si>
  <si>
    <t>West Bluff</t>
  </si>
  <si>
    <t>West Jukes Peak</t>
  </si>
  <si>
    <t>West Portal</t>
  </si>
  <si>
    <t>Western Bluff</t>
  </si>
  <si>
    <t>Wetpants Peak</t>
  </si>
  <si>
    <t>Wherretts Lookout</t>
  </si>
  <si>
    <t>White Needle</t>
  </si>
  <si>
    <t>White Pyramid</t>
  </si>
  <si>
    <t>White Rock Bluff</t>
  </si>
  <si>
    <t>White Timber Mountain</t>
  </si>
  <si>
    <t>Whitham Bluff</t>
  </si>
  <si>
    <t>Whymper Crags</t>
  </si>
  <si>
    <t>Wild Dog Tier</t>
  </si>
  <si>
    <t>Wilmot Bluff</t>
  </si>
  <si>
    <t>Wilson, Mount</t>
  </si>
  <si>
    <t>Windmill Top</t>
  </si>
  <si>
    <t>Windsor, Mount</t>
  </si>
  <si>
    <t>Wombat Peak</t>
  </si>
  <si>
    <t>Woods Quoin</t>
  </si>
  <si>
    <t>Dennistoun</t>
  </si>
  <si>
    <t>Woody Peak</t>
  </si>
  <si>
    <t>Wright, Mount</t>
  </si>
  <si>
    <t>Wylds Craig</t>
  </si>
  <si>
    <t>Wylly, Mount</t>
  </si>
  <si>
    <t>Wyndham, Mount</t>
  </si>
  <si>
    <t>Yellow Knob</t>
  </si>
  <si>
    <t>Young, Mount</t>
  </si>
  <si>
    <t>Youngbuck, Mount</t>
  </si>
  <si>
    <t>Zeehan, Mount</t>
  </si>
  <si>
    <t>Oceana</t>
  </si>
  <si>
    <t>Zion Hill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</si>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</sst>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\ 00\ 000"/>
    <numFmt numFmtId="165" formatCode="0.000"/>
    <numFmt numFmtId="166" formatCode="0.0000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1"/>
      <color indexed="8"/>
      <name val="Calibri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6" fontId="1" fillId="0" borderId="0" xfId="0" applyNumberFormat="1" applyFont="1"/>
    <xf numFmtId="0" fontId="3" fillId="0" borderId="0" xfId="0" applyFont="1"/>
    <xf numFmtId="0" fontId="2" fillId="0" borderId="0" xfId="1" applyFont="1"/>
    <xf numFmtId="0" fontId="5" fillId="0" borderId="0" xfId="0" applyFont="1"/>
    <xf numFmtId="0" fontId="2" fillId="4" borderId="0" xfId="0" applyFont="1" applyFill="1"/>
    <xf numFmtId="165" fontId="1" fillId="0" borderId="0" xfId="0" applyNumberFormat="1" applyFont="1"/>
  </cellXfs>
  <cellStyles count="3">
    <cellStyle name="Normal" xfId="0" builtinId="0"/>
    <cellStyle name="Normal 2" xfId="2" xr:uid="{FA85AB34-7C04-B94B-8B3F-DCA470425E3B}"/>
    <cellStyle name="Normal_Mountains" xfId="1" xr:uid="{A495C9D5-D5DD-4F45-9D18-823390769910}"/>
  </cellStyles>
  <dxfs count="2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rian/Documents/Bushwalking/High_Places_of_Tasmania_v1-0.xlsx" TargetMode="External"/><Relationship Id="rId1" Type="http://schemas.openxmlformats.org/officeDocument/2006/relationships/externalLinkPath" Target="/Users/adrian/Documents/Bushwalking/High_Places_of_Tasmania_v1-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HIGH_PLACES"/>
      <sheetName val="Times"/>
      <sheetName val="Routes"/>
      <sheetName val="Peaks"/>
      <sheetName val="Notes"/>
      <sheetName val="TASMaps 50K"/>
      <sheetName val="TASMaps"/>
      <sheetName val="References"/>
      <sheetName val="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H4">
            <v>3239</v>
          </cell>
          <cell r="I4" t="str">
            <v>Interview</v>
          </cell>
          <cell r="J4" t="str">
            <v>TK03</v>
          </cell>
          <cell r="K4" t="str">
            <v>Norfolk Range</v>
          </cell>
        </row>
        <row r="5">
          <cell r="H5">
            <v>3240</v>
          </cell>
          <cell r="I5" t="str">
            <v>Lagoon</v>
          </cell>
          <cell r="J5" t="str">
            <v>TK03</v>
          </cell>
          <cell r="K5" t="str">
            <v>Norfolk Range</v>
          </cell>
        </row>
        <row r="6">
          <cell r="H6">
            <v>3241</v>
          </cell>
          <cell r="I6" t="str">
            <v>Lily</v>
          </cell>
          <cell r="J6" t="str">
            <v>TK03</v>
          </cell>
          <cell r="K6" t="str">
            <v>Norfolk Range</v>
          </cell>
        </row>
        <row r="7">
          <cell r="H7">
            <v>3242</v>
          </cell>
          <cell r="I7" t="str">
            <v>Balfour</v>
          </cell>
          <cell r="J7" t="str">
            <v>TJ03</v>
          </cell>
          <cell r="K7" t="str">
            <v>Rebecca</v>
          </cell>
        </row>
        <row r="8">
          <cell r="H8">
            <v>3436</v>
          </cell>
          <cell r="I8" t="str">
            <v>Heemskirk</v>
          </cell>
          <cell r="J8" t="str">
            <v>TL04</v>
          </cell>
          <cell r="K8" t="str">
            <v>Lake Pieman</v>
          </cell>
        </row>
        <row r="9">
          <cell r="H9">
            <v>3438</v>
          </cell>
          <cell r="I9" t="str">
            <v>Livingstone</v>
          </cell>
          <cell r="J9" t="str">
            <v>TL04</v>
          </cell>
          <cell r="K9" t="str">
            <v>Lake Pieman</v>
          </cell>
        </row>
        <row r="10">
          <cell r="H10">
            <v>3439</v>
          </cell>
          <cell r="I10" t="str">
            <v>Meredith</v>
          </cell>
          <cell r="J10" t="str">
            <v>TK04</v>
          </cell>
          <cell r="K10" t="str">
            <v>White River</v>
          </cell>
        </row>
        <row r="11">
          <cell r="H11">
            <v>3440</v>
          </cell>
          <cell r="I11" t="str">
            <v>Savage River</v>
          </cell>
          <cell r="J11" t="str">
            <v>TK04</v>
          </cell>
          <cell r="K11" t="str">
            <v>White River</v>
          </cell>
        </row>
        <row r="12">
          <cell r="H12">
            <v>3442</v>
          </cell>
          <cell r="I12" t="str">
            <v>Bertha</v>
          </cell>
          <cell r="J12" t="str">
            <v>TJ04</v>
          </cell>
          <cell r="K12" t="str">
            <v>Rapid River</v>
          </cell>
        </row>
        <row r="13">
          <cell r="H13">
            <v>3631</v>
          </cell>
          <cell r="I13" t="str">
            <v>Philips</v>
          </cell>
          <cell r="J13" t="str">
            <v>TN04</v>
          </cell>
          <cell r="K13" t="str">
            <v>Macquarie Harbour</v>
          </cell>
        </row>
        <row r="14">
          <cell r="H14">
            <v>3632</v>
          </cell>
          <cell r="I14" t="str">
            <v>Teepookana</v>
          </cell>
          <cell r="J14" t="str">
            <v>TN04</v>
          </cell>
          <cell r="K14" t="str">
            <v>Macquarie Harbour</v>
          </cell>
        </row>
        <row r="15">
          <cell r="H15">
            <v>3635</v>
          </cell>
          <cell r="I15" t="str">
            <v>Oceana</v>
          </cell>
          <cell r="J15" t="str">
            <v>TM04</v>
          </cell>
          <cell r="K15" t="str">
            <v>Tully</v>
          </cell>
        </row>
        <row r="16">
          <cell r="H16">
            <v>3636</v>
          </cell>
          <cell r="I16" t="str">
            <v>Dundas</v>
          </cell>
          <cell r="J16" t="str">
            <v>TL04</v>
          </cell>
          <cell r="K16" t="str">
            <v>Lake Pieman</v>
          </cell>
        </row>
        <row r="17">
          <cell r="H17">
            <v>3638</v>
          </cell>
          <cell r="I17" t="str">
            <v>Parsons</v>
          </cell>
          <cell r="J17" t="str">
            <v>TL04</v>
          </cell>
          <cell r="K17" t="str">
            <v>Lake Pieman</v>
          </cell>
        </row>
        <row r="18">
          <cell r="H18">
            <v>3639</v>
          </cell>
          <cell r="I18" t="str">
            <v>Ramsay</v>
          </cell>
          <cell r="J18" t="str">
            <v>TK04</v>
          </cell>
          <cell r="K18" t="str">
            <v>White River</v>
          </cell>
        </row>
        <row r="19">
          <cell r="H19">
            <v>3640</v>
          </cell>
          <cell r="I19" t="str">
            <v>Luina</v>
          </cell>
          <cell r="J19" t="str">
            <v>TK04</v>
          </cell>
          <cell r="K19" t="str">
            <v>White River</v>
          </cell>
        </row>
        <row r="20">
          <cell r="H20">
            <v>3641</v>
          </cell>
          <cell r="I20" t="str">
            <v>Waratah</v>
          </cell>
          <cell r="J20" t="str">
            <v>TK04</v>
          </cell>
          <cell r="K20" t="str">
            <v>White River</v>
          </cell>
        </row>
        <row r="21">
          <cell r="H21">
            <v>3642</v>
          </cell>
          <cell r="I21" t="str">
            <v>Baretop</v>
          </cell>
          <cell r="J21" t="str">
            <v>TJ04</v>
          </cell>
          <cell r="K21" t="str">
            <v>Rapid River</v>
          </cell>
        </row>
        <row r="22">
          <cell r="H22">
            <v>3644</v>
          </cell>
          <cell r="I22" t="str">
            <v>Folly</v>
          </cell>
          <cell r="J22" t="str">
            <v>TJ04</v>
          </cell>
          <cell r="K22" t="str">
            <v>Rapid River</v>
          </cell>
        </row>
        <row r="23">
          <cell r="H23">
            <v>3645</v>
          </cell>
          <cell r="I23" t="str">
            <v>Milabena</v>
          </cell>
          <cell r="J23" t="str">
            <v>TH05</v>
          </cell>
          <cell r="K23" t="str">
            <v>Table Cape</v>
          </cell>
        </row>
        <row r="24">
          <cell r="H24">
            <v>3646</v>
          </cell>
          <cell r="I24" t="str">
            <v>Mawbanna</v>
          </cell>
          <cell r="J24" t="str">
            <v>TH05</v>
          </cell>
          <cell r="K24" t="str">
            <v>Table Cape</v>
          </cell>
        </row>
        <row r="25">
          <cell r="H25">
            <v>3825</v>
          </cell>
          <cell r="I25" t="str">
            <v>Osmund</v>
          </cell>
          <cell r="J25" t="str">
            <v>TQ05</v>
          </cell>
          <cell r="K25" t="str">
            <v>Dohertys</v>
          </cell>
        </row>
        <row r="26">
          <cell r="H26">
            <v>3826</v>
          </cell>
          <cell r="I26" t="str">
            <v>Moores</v>
          </cell>
          <cell r="J26" t="str">
            <v>TQ05</v>
          </cell>
          <cell r="K26" t="str">
            <v>Dohertys</v>
          </cell>
        </row>
        <row r="27">
          <cell r="H27">
            <v>3827</v>
          </cell>
          <cell r="I27" t="str">
            <v>Innes</v>
          </cell>
          <cell r="J27" t="str">
            <v>TP05</v>
          </cell>
          <cell r="K27" t="str">
            <v>Princess Range</v>
          </cell>
        </row>
        <row r="28">
          <cell r="H28">
            <v>3828</v>
          </cell>
          <cell r="I28" t="str">
            <v>D'Aguilar</v>
          </cell>
          <cell r="J28" t="str">
            <v>TP05</v>
          </cell>
          <cell r="K28" t="str">
            <v>Princess Range</v>
          </cell>
        </row>
        <row r="29">
          <cell r="H29">
            <v>3829</v>
          </cell>
          <cell r="I29" t="str">
            <v>Limekiln</v>
          </cell>
          <cell r="J29" t="str">
            <v>TP05</v>
          </cell>
          <cell r="K29" t="str">
            <v>Princess Range</v>
          </cell>
        </row>
        <row r="30">
          <cell r="H30">
            <v>3830</v>
          </cell>
          <cell r="I30" t="str">
            <v>McCall</v>
          </cell>
          <cell r="J30" t="str">
            <v>TN05</v>
          </cell>
          <cell r="K30" t="str">
            <v>Frenchmans</v>
          </cell>
        </row>
        <row r="31">
          <cell r="H31">
            <v>3831</v>
          </cell>
          <cell r="I31" t="str">
            <v>Engineer</v>
          </cell>
          <cell r="J31" t="str">
            <v>TN05</v>
          </cell>
          <cell r="K31" t="str">
            <v>Frenchmans</v>
          </cell>
        </row>
        <row r="32">
          <cell r="H32">
            <v>3832</v>
          </cell>
          <cell r="I32" t="str">
            <v>Darwin</v>
          </cell>
          <cell r="J32" t="str">
            <v>TN05</v>
          </cell>
          <cell r="K32" t="str">
            <v>Frenchmans</v>
          </cell>
        </row>
        <row r="33">
          <cell r="H33">
            <v>3833</v>
          </cell>
          <cell r="I33" t="str">
            <v>Owen</v>
          </cell>
          <cell r="J33" t="str">
            <v>TM05</v>
          </cell>
          <cell r="K33" t="str">
            <v>Eldon</v>
          </cell>
        </row>
        <row r="34">
          <cell r="H34">
            <v>3834</v>
          </cell>
          <cell r="I34" t="str">
            <v>Gormanston</v>
          </cell>
          <cell r="J34" t="str">
            <v>TM05</v>
          </cell>
          <cell r="K34" t="str">
            <v>Eldon</v>
          </cell>
        </row>
        <row r="35">
          <cell r="H35">
            <v>3835</v>
          </cell>
          <cell r="I35" t="str">
            <v>Tyndall</v>
          </cell>
          <cell r="J35" t="str">
            <v>TM05</v>
          </cell>
          <cell r="K35" t="str">
            <v>Eldon</v>
          </cell>
        </row>
        <row r="36">
          <cell r="H36">
            <v>3836</v>
          </cell>
          <cell r="I36" t="str">
            <v>Selina</v>
          </cell>
          <cell r="J36" t="str">
            <v>TL05</v>
          </cell>
          <cell r="K36" t="str">
            <v>Murchison</v>
          </cell>
        </row>
        <row r="37">
          <cell r="H37">
            <v>3837</v>
          </cell>
          <cell r="I37" t="str">
            <v>Tullah</v>
          </cell>
          <cell r="J37" t="str">
            <v>TL05</v>
          </cell>
          <cell r="K37" t="str">
            <v>Murchison</v>
          </cell>
        </row>
        <row r="38">
          <cell r="H38">
            <v>3838</v>
          </cell>
          <cell r="I38" t="str">
            <v>Block</v>
          </cell>
          <cell r="J38" t="str">
            <v>TL05</v>
          </cell>
          <cell r="K38" t="str">
            <v>Murchison</v>
          </cell>
        </row>
        <row r="39">
          <cell r="H39">
            <v>3839</v>
          </cell>
          <cell r="I39" t="str">
            <v>Charter</v>
          </cell>
          <cell r="J39" t="str">
            <v>TK05</v>
          </cell>
          <cell r="K39" t="str">
            <v>Black Bluff</v>
          </cell>
        </row>
        <row r="40">
          <cell r="H40">
            <v>3840</v>
          </cell>
          <cell r="I40" t="str">
            <v>Pearse</v>
          </cell>
          <cell r="J40" t="str">
            <v>TK05</v>
          </cell>
          <cell r="K40" t="str">
            <v>Black Bluff</v>
          </cell>
        </row>
        <row r="41">
          <cell r="H41">
            <v>3842</v>
          </cell>
          <cell r="I41" t="str">
            <v>Parrawe</v>
          </cell>
          <cell r="J41" t="str">
            <v>TJ05</v>
          </cell>
          <cell r="K41" t="str">
            <v>Emu River</v>
          </cell>
        </row>
        <row r="42">
          <cell r="H42">
            <v>3843</v>
          </cell>
          <cell r="I42" t="str">
            <v>Tewkesbury</v>
          </cell>
          <cell r="J42" t="str">
            <v>TJ05</v>
          </cell>
          <cell r="K42" t="str">
            <v>Emu River</v>
          </cell>
        </row>
        <row r="43">
          <cell r="H43">
            <v>4022</v>
          </cell>
          <cell r="I43" t="str">
            <v>Davey</v>
          </cell>
          <cell r="J43" t="str">
            <v>TS05</v>
          </cell>
          <cell r="K43" t="str">
            <v>Port Davey</v>
          </cell>
        </row>
        <row r="44">
          <cell r="H44">
            <v>4023</v>
          </cell>
          <cell r="I44" t="str">
            <v>Propsting</v>
          </cell>
          <cell r="J44" t="str">
            <v>TS05</v>
          </cell>
          <cell r="K44" t="str">
            <v>Port Davey</v>
          </cell>
        </row>
        <row r="45">
          <cell r="H45">
            <v>4024</v>
          </cell>
          <cell r="I45" t="str">
            <v>Rookery</v>
          </cell>
          <cell r="J45" t="str">
            <v>TQ05</v>
          </cell>
          <cell r="K45" t="str">
            <v>Dohertys</v>
          </cell>
        </row>
        <row r="46">
          <cell r="H46">
            <v>4025</v>
          </cell>
          <cell r="I46" t="str">
            <v>View</v>
          </cell>
          <cell r="J46" t="str">
            <v>TQ05</v>
          </cell>
          <cell r="K46" t="str">
            <v>Dohertys</v>
          </cell>
        </row>
        <row r="47">
          <cell r="H47">
            <v>4026</v>
          </cell>
          <cell r="I47" t="str">
            <v>Serpentine</v>
          </cell>
          <cell r="J47" t="str">
            <v>TQ05</v>
          </cell>
          <cell r="K47" t="str">
            <v>Dohertys</v>
          </cell>
        </row>
        <row r="48">
          <cell r="H48">
            <v>4027</v>
          </cell>
          <cell r="I48" t="str">
            <v>Olegas</v>
          </cell>
          <cell r="J48" t="str">
            <v>TP05</v>
          </cell>
          <cell r="K48" t="str">
            <v>Princess Range</v>
          </cell>
        </row>
        <row r="49">
          <cell r="H49">
            <v>4028</v>
          </cell>
          <cell r="I49" t="str">
            <v>Lancelot</v>
          </cell>
          <cell r="J49" t="str">
            <v>TP05</v>
          </cell>
          <cell r="K49" t="str">
            <v>Princess Range</v>
          </cell>
        </row>
        <row r="50">
          <cell r="H50">
            <v>4029</v>
          </cell>
          <cell r="I50" t="str">
            <v>Abel</v>
          </cell>
          <cell r="J50" t="str">
            <v>TP05</v>
          </cell>
          <cell r="K50" t="str">
            <v>Princess Range</v>
          </cell>
        </row>
        <row r="51">
          <cell r="H51">
            <v>4030</v>
          </cell>
          <cell r="I51" t="str">
            <v>Warnes</v>
          </cell>
          <cell r="J51" t="str">
            <v>TN05</v>
          </cell>
          <cell r="K51" t="str">
            <v>Frenchmans</v>
          </cell>
        </row>
        <row r="52">
          <cell r="H52">
            <v>4031</v>
          </cell>
          <cell r="I52" t="str">
            <v>Vera</v>
          </cell>
          <cell r="J52" t="str">
            <v>TN05</v>
          </cell>
          <cell r="K52" t="str">
            <v>Frenchmans</v>
          </cell>
        </row>
        <row r="53">
          <cell r="H53">
            <v>4032</v>
          </cell>
          <cell r="I53" t="str">
            <v>Loddon</v>
          </cell>
          <cell r="J53" t="str">
            <v>TN05</v>
          </cell>
          <cell r="K53" t="str">
            <v>Frenchmans</v>
          </cell>
        </row>
        <row r="54">
          <cell r="H54">
            <v>4033</v>
          </cell>
          <cell r="I54" t="str">
            <v>Collingwood</v>
          </cell>
          <cell r="J54" t="str">
            <v>TM05</v>
          </cell>
          <cell r="K54" t="str">
            <v>Eldon</v>
          </cell>
        </row>
        <row r="55">
          <cell r="H55">
            <v>4034</v>
          </cell>
          <cell r="I55" t="str">
            <v>Goulds</v>
          </cell>
          <cell r="J55" t="str">
            <v>TM05</v>
          </cell>
          <cell r="K55" t="str">
            <v>Eldon</v>
          </cell>
        </row>
        <row r="56">
          <cell r="H56">
            <v>4035</v>
          </cell>
          <cell r="I56" t="str">
            <v>Dome</v>
          </cell>
          <cell r="J56" t="str">
            <v>TM05</v>
          </cell>
          <cell r="K56" t="str">
            <v>Eldon</v>
          </cell>
        </row>
        <row r="57">
          <cell r="H57">
            <v>4036</v>
          </cell>
          <cell r="I57" t="str">
            <v>Achilles</v>
          </cell>
          <cell r="J57" t="str">
            <v>TL05</v>
          </cell>
          <cell r="K57" t="str">
            <v>Murchison</v>
          </cell>
        </row>
        <row r="58">
          <cell r="H58">
            <v>4037</v>
          </cell>
          <cell r="I58" t="str">
            <v>Will</v>
          </cell>
          <cell r="J58" t="str">
            <v>TL05</v>
          </cell>
          <cell r="K58" t="str">
            <v>Murchison</v>
          </cell>
        </row>
        <row r="59">
          <cell r="H59">
            <v>4038</v>
          </cell>
          <cell r="I59" t="str">
            <v>Cradle</v>
          </cell>
          <cell r="J59" t="str">
            <v>TL05</v>
          </cell>
          <cell r="K59" t="str">
            <v>Murchison</v>
          </cell>
        </row>
        <row r="60">
          <cell r="H60">
            <v>4039</v>
          </cell>
          <cell r="I60" t="str">
            <v>Pencil Pine</v>
          </cell>
          <cell r="J60" t="str">
            <v>TK05</v>
          </cell>
          <cell r="K60" t="str">
            <v>Black Bluff</v>
          </cell>
        </row>
        <row r="61">
          <cell r="H61">
            <v>4040</v>
          </cell>
          <cell r="I61" t="str">
            <v>Lea</v>
          </cell>
          <cell r="J61" t="str">
            <v>TK05</v>
          </cell>
          <cell r="K61" t="str">
            <v>Black Bluff</v>
          </cell>
        </row>
        <row r="62">
          <cell r="H62">
            <v>4041</v>
          </cell>
          <cell r="I62" t="str">
            <v>Loongana</v>
          </cell>
          <cell r="J62" t="str">
            <v>TK05</v>
          </cell>
          <cell r="K62" t="str">
            <v>Black Bluff</v>
          </cell>
        </row>
        <row r="63">
          <cell r="H63">
            <v>4042</v>
          </cell>
          <cell r="I63" t="str">
            <v>Loyetea</v>
          </cell>
          <cell r="J63" t="str">
            <v>TJ05</v>
          </cell>
          <cell r="K63" t="str">
            <v>Emu River</v>
          </cell>
        </row>
        <row r="64">
          <cell r="H64">
            <v>4043</v>
          </cell>
          <cell r="I64" t="str">
            <v>Riana</v>
          </cell>
          <cell r="J64" t="str">
            <v>TJ05</v>
          </cell>
          <cell r="K64" t="str">
            <v>Emu River</v>
          </cell>
        </row>
        <row r="65">
          <cell r="H65">
            <v>4044</v>
          </cell>
          <cell r="I65" t="str">
            <v>Stowport</v>
          </cell>
          <cell r="J65" t="str">
            <v>TJ05</v>
          </cell>
          <cell r="K65" t="str">
            <v>Emu River</v>
          </cell>
        </row>
        <row r="66">
          <cell r="H66">
            <v>4217</v>
          </cell>
          <cell r="I66" t="str">
            <v>Telopea</v>
          </cell>
          <cell r="J66" t="str">
            <v>TT06</v>
          </cell>
          <cell r="K66" t="str">
            <v>South Coast</v>
          </cell>
        </row>
        <row r="67">
          <cell r="H67">
            <v>4218</v>
          </cell>
          <cell r="I67" t="str">
            <v>Cox</v>
          </cell>
          <cell r="J67" t="str">
            <v>TS06</v>
          </cell>
          <cell r="K67" t="str">
            <v>Bathurst</v>
          </cell>
        </row>
        <row r="68">
          <cell r="H68">
            <v>4219</v>
          </cell>
          <cell r="I68" t="str">
            <v>Melaleuca</v>
          </cell>
          <cell r="J68" t="str">
            <v>TS06</v>
          </cell>
          <cell r="K68" t="str">
            <v>Bathurst</v>
          </cell>
        </row>
        <row r="69">
          <cell r="H69">
            <v>4220</v>
          </cell>
          <cell r="I69" t="str">
            <v>Rugby</v>
          </cell>
          <cell r="J69" t="str">
            <v>TS06</v>
          </cell>
          <cell r="K69" t="str">
            <v>Bathurst</v>
          </cell>
        </row>
        <row r="70">
          <cell r="H70">
            <v>4221</v>
          </cell>
          <cell r="I70" t="str">
            <v>Legge</v>
          </cell>
          <cell r="J70" t="str">
            <v>TR06</v>
          </cell>
          <cell r="K70" t="str">
            <v>Western Arthur</v>
          </cell>
        </row>
        <row r="71">
          <cell r="H71">
            <v>4222</v>
          </cell>
          <cell r="I71" t="str">
            <v>Crossing</v>
          </cell>
          <cell r="J71" t="str">
            <v>TR06</v>
          </cell>
          <cell r="K71" t="str">
            <v>Western Arthur</v>
          </cell>
        </row>
        <row r="72">
          <cell r="H72">
            <v>4223</v>
          </cell>
          <cell r="I72" t="str">
            <v>Maconochie</v>
          </cell>
          <cell r="J72" t="str">
            <v>TR06</v>
          </cell>
          <cell r="K72" t="str">
            <v>Western Arthur</v>
          </cell>
        </row>
        <row r="73">
          <cell r="H73">
            <v>4224</v>
          </cell>
          <cell r="I73" t="str">
            <v>Solitary</v>
          </cell>
          <cell r="J73" t="str">
            <v>TQ06</v>
          </cell>
          <cell r="K73" t="str">
            <v>Lake Pedder</v>
          </cell>
        </row>
        <row r="74">
          <cell r="H74">
            <v>4225</v>
          </cell>
          <cell r="I74" t="str">
            <v>McPartlan</v>
          </cell>
          <cell r="J74" t="str">
            <v>TQ06</v>
          </cell>
          <cell r="K74" t="str">
            <v>Lake Pedder</v>
          </cell>
        </row>
        <row r="75">
          <cell r="H75">
            <v>4226</v>
          </cell>
          <cell r="I75" t="str">
            <v>Strathgordon</v>
          </cell>
          <cell r="J75" t="str">
            <v>TQ06</v>
          </cell>
          <cell r="K75" t="str">
            <v>Lake Pedder</v>
          </cell>
        </row>
        <row r="76">
          <cell r="H76">
            <v>4228</v>
          </cell>
          <cell r="I76" t="str">
            <v>Pokana</v>
          </cell>
          <cell r="J76" t="str">
            <v>TP06</v>
          </cell>
          <cell r="K76" t="str">
            <v>Denison Range</v>
          </cell>
        </row>
        <row r="77">
          <cell r="H77">
            <v>4229</v>
          </cell>
          <cell r="I77" t="str">
            <v>Spires</v>
          </cell>
          <cell r="J77" t="str">
            <v>TP06</v>
          </cell>
          <cell r="K77" t="str">
            <v>Denison Range</v>
          </cell>
        </row>
        <row r="78">
          <cell r="H78">
            <v>4230</v>
          </cell>
          <cell r="I78" t="str">
            <v>Algonkian</v>
          </cell>
          <cell r="J78" t="str">
            <v>TN06</v>
          </cell>
          <cell r="K78" t="str">
            <v>King William</v>
          </cell>
        </row>
        <row r="79">
          <cell r="H79">
            <v>4231</v>
          </cell>
          <cell r="I79" t="str">
            <v>Majors</v>
          </cell>
          <cell r="J79" t="str">
            <v>TN06</v>
          </cell>
          <cell r="K79" t="str">
            <v>King William</v>
          </cell>
        </row>
        <row r="80">
          <cell r="H80">
            <v>4232</v>
          </cell>
          <cell r="I80" t="str">
            <v>Arrowsmith</v>
          </cell>
          <cell r="J80" t="str">
            <v>TN06</v>
          </cell>
          <cell r="K80" t="str">
            <v>King William</v>
          </cell>
        </row>
        <row r="81">
          <cell r="H81">
            <v>4233</v>
          </cell>
          <cell r="I81" t="str">
            <v>Rufus</v>
          </cell>
          <cell r="J81" t="str">
            <v>TM06</v>
          </cell>
          <cell r="K81" t="str">
            <v>St Clair</v>
          </cell>
        </row>
        <row r="82">
          <cell r="H82">
            <v>4234</v>
          </cell>
          <cell r="I82" t="str">
            <v>Olympus</v>
          </cell>
          <cell r="J82" t="str">
            <v>TM06</v>
          </cell>
          <cell r="K82" t="str">
            <v>St Clair</v>
          </cell>
        </row>
        <row r="83">
          <cell r="H83">
            <v>4235</v>
          </cell>
          <cell r="I83" t="str">
            <v>Ducane</v>
          </cell>
          <cell r="J83" t="str">
            <v>TM06</v>
          </cell>
          <cell r="K83" t="str">
            <v>St Clair</v>
          </cell>
        </row>
        <row r="84">
          <cell r="H84">
            <v>4236</v>
          </cell>
          <cell r="I84" t="str">
            <v>Cathedral</v>
          </cell>
          <cell r="J84" t="str">
            <v>TL06</v>
          </cell>
          <cell r="K84" t="str">
            <v>Jerusalem</v>
          </cell>
        </row>
        <row r="85">
          <cell r="H85">
            <v>4237</v>
          </cell>
          <cell r="I85" t="str">
            <v>Rowallan</v>
          </cell>
          <cell r="J85" t="str">
            <v>TL06</v>
          </cell>
          <cell r="K85" t="str">
            <v>Jerusalem</v>
          </cell>
        </row>
        <row r="86">
          <cell r="H86">
            <v>4238</v>
          </cell>
          <cell r="I86" t="str">
            <v>Borradaile</v>
          </cell>
          <cell r="J86" t="str">
            <v>TL06</v>
          </cell>
          <cell r="K86" t="str">
            <v>Jerusalem</v>
          </cell>
        </row>
        <row r="87">
          <cell r="H87">
            <v>4240</v>
          </cell>
          <cell r="I87" t="str">
            <v>Cethana</v>
          </cell>
          <cell r="J87" t="str">
            <v>TK06</v>
          </cell>
          <cell r="K87" t="str">
            <v>Fossey Mountains</v>
          </cell>
        </row>
        <row r="88">
          <cell r="H88">
            <v>4242</v>
          </cell>
          <cell r="I88" t="str">
            <v>Castra</v>
          </cell>
          <cell r="J88" t="str">
            <v>TJ06</v>
          </cell>
          <cell r="K88" t="str">
            <v>Paloona</v>
          </cell>
        </row>
        <row r="89">
          <cell r="H89">
            <v>4244</v>
          </cell>
          <cell r="I89" t="str">
            <v>Ulverstone</v>
          </cell>
          <cell r="J89" t="str">
            <v>TJ06</v>
          </cell>
          <cell r="K89" t="str">
            <v>Paloona</v>
          </cell>
        </row>
        <row r="90">
          <cell r="H90">
            <v>4417</v>
          </cell>
          <cell r="I90" t="str">
            <v>De Witt</v>
          </cell>
          <cell r="J90" t="str">
            <v>TT06</v>
          </cell>
          <cell r="K90" t="str">
            <v>South Coast</v>
          </cell>
        </row>
        <row r="91">
          <cell r="H91">
            <v>4418</v>
          </cell>
          <cell r="I91" t="str">
            <v>Louisa</v>
          </cell>
          <cell r="J91" t="str">
            <v>TS06</v>
          </cell>
          <cell r="K91" t="str">
            <v>Bathurst</v>
          </cell>
        </row>
        <row r="92">
          <cell r="H92">
            <v>4419</v>
          </cell>
          <cell r="I92" t="str">
            <v>Ray</v>
          </cell>
          <cell r="J92" t="str">
            <v>TS06</v>
          </cell>
          <cell r="K92" t="str">
            <v>Bathurst</v>
          </cell>
        </row>
        <row r="93">
          <cell r="H93">
            <v>4420</v>
          </cell>
          <cell r="I93" t="str">
            <v>Federation</v>
          </cell>
          <cell r="J93" t="str">
            <v>TS06</v>
          </cell>
          <cell r="K93" t="str">
            <v>Bathurst</v>
          </cell>
        </row>
        <row r="94">
          <cell r="H94">
            <v>4421</v>
          </cell>
          <cell r="I94" t="str">
            <v>Glovers</v>
          </cell>
          <cell r="J94" t="str">
            <v>TR06</v>
          </cell>
          <cell r="K94" t="str">
            <v>Western Arthur</v>
          </cell>
        </row>
        <row r="95">
          <cell r="H95">
            <v>4422</v>
          </cell>
          <cell r="I95" t="str">
            <v>Razorback</v>
          </cell>
          <cell r="J95" t="str">
            <v>TR06</v>
          </cell>
          <cell r="K95" t="str">
            <v>Western Arthur</v>
          </cell>
        </row>
        <row r="96">
          <cell r="H96">
            <v>4423</v>
          </cell>
          <cell r="I96" t="str">
            <v>Scotts</v>
          </cell>
          <cell r="J96" t="str">
            <v>TR06</v>
          </cell>
          <cell r="K96" t="str">
            <v>Western Arthur</v>
          </cell>
        </row>
        <row r="97">
          <cell r="H97">
            <v>4424</v>
          </cell>
          <cell r="I97" t="str">
            <v>Anne</v>
          </cell>
          <cell r="J97" t="str">
            <v>TQ06</v>
          </cell>
          <cell r="K97" t="str">
            <v>Lake Pedder</v>
          </cell>
        </row>
        <row r="98">
          <cell r="H98">
            <v>4425</v>
          </cell>
          <cell r="I98" t="str">
            <v>Bowes</v>
          </cell>
          <cell r="J98" t="str">
            <v>TQ06</v>
          </cell>
          <cell r="K98" t="str">
            <v>Lake Pedder</v>
          </cell>
        </row>
        <row r="99">
          <cell r="H99">
            <v>4426</v>
          </cell>
          <cell r="I99" t="str">
            <v>Adamsfield</v>
          </cell>
          <cell r="J99" t="str">
            <v>TQ06</v>
          </cell>
          <cell r="K99" t="str">
            <v>Lake Pedder</v>
          </cell>
        </row>
        <row r="100">
          <cell r="H100">
            <v>4427</v>
          </cell>
          <cell r="I100" t="str">
            <v>Tiger</v>
          </cell>
          <cell r="J100" t="str">
            <v>TP06</v>
          </cell>
          <cell r="K100" t="str">
            <v>Denison Range</v>
          </cell>
        </row>
        <row r="101">
          <cell r="H101">
            <v>4428</v>
          </cell>
          <cell r="I101" t="str">
            <v>Gordonvale</v>
          </cell>
          <cell r="J101" t="str">
            <v>TP06</v>
          </cell>
          <cell r="K101" t="str">
            <v>Denison Range</v>
          </cell>
        </row>
        <row r="102">
          <cell r="H102">
            <v>4429</v>
          </cell>
          <cell r="I102" t="str">
            <v>Wylds</v>
          </cell>
          <cell r="J102" t="str">
            <v>TP06</v>
          </cell>
          <cell r="K102" t="str">
            <v>Denison Range</v>
          </cell>
        </row>
        <row r="103">
          <cell r="H103">
            <v>4430</v>
          </cell>
          <cell r="I103" t="str">
            <v>Wayatinah</v>
          </cell>
          <cell r="J103" t="str">
            <v>TN06</v>
          </cell>
          <cell r="K103" t="str">
            <v>King William</v>
          </cell>
        </row>
        <row r="104">
          <cell r="H104">
            <v>4431</v>
          </cell>
          <cell r="I104" t="str">
            <v>Tarraleah</v>
          </cell>
          <cell r="J104" t="str">
            <v>TN06</v>
          </cell>
          <cell r="K104" t="str">
            <v>King William</v>
          </cell>
        </row>
        <row r="105">
          <cell r="H105">
            <v>4432</v>
          </cell>
          <cell r="I105" t="str">
            <v>D'Arcys</v>
          </cell>
          <cell r="J105" t="str">
            <v>TN06</v>
          </cell>
          <cell r="K105" t="str">
            <v>King William</v>
          </cell>
        </row>
        <row r="106">
          <cell r="H106">
            <v>4433</v>
          </cell>
          <cell r="I106" t="str">
            <v>Bronte</v>
          </cell>
          <cell r="J106" t="str">
            <v>TM06</v>
          </cell>
          <cell r="K106" t="str">
            <v>St Clair</v>
          </cell>
        </row>
        <row r="107">
          <cell r="H107">
            <v>4435</v>
          </cell>
          <cell r="I107" t="str">
            <v>Olive</v>
          </cell>
          <cell r="J107" t="str">
            <v>TM06</v>
          </cell>
          <cell r="K107" t="str">
            <v>St Clair</v>
          </cell>
        </row>
        <row r="108">
          <cell r="H108">
            <v>4436</v>
          </cell>
          <cell r="I108" t="str">
            <v>Ada</v>
          </cell>
          <cell r="J108" t="str">
            <v>TL06</v>
          </cell>
          <cell r="K108" t="str">
            <v>Jerusalem</v>
          </cell>
        </row>
        <row r="109">
          <cell r="H109">
            <v>4437</v>
          </cell>
          <cell r="I109" t="str">
            <v>Pillans</v>
          </cell>
          <cell r="J109" t="str">
            <v>TL06</v>
          </cell>
          <cell r="K109" t="str">
            <v>Jerusalem</v>
          </cell>
        </row>
        <row r="110">
          <cell r="H110">
            <v>4438</v>
          </cell>
          <cell r="I110" t="str">
            <v>Lake MacKenzie</v>
          </cell>
          <cell r="J110" t="str">
            <v>TL06</v>
          </cell>
          <cell r="K110" t="str">
            <v>Jerusalem</v>
          </cell>
        </row>
        <row r="111">
          <cell r="H111">
            <v>4439</v>
          </cell>
          <cell r="I111" t="str">
            <v>Mole Creek</v>
          </cell>
          <cell r="J111" t="str">
            <v>TK06</v>
          </cell>
          <cell r="K111" t="str">
            <v>Fossey Mountains</v>
          </cell>
        </row>
        <row r="112">
          <cell r="H112">
            <v>4440</v>
          </cell>
          <cell r="I112" t="str">
            <v>Gog</v>
          </cell>
          <cell r="J112" t="str">
            <v>TK06</v>
          </cell>
          <cell r="K112" t="str">
            <v>Fossey Mountains</v>
          </cell>
        </row>
        <row r="113">
          <cell r="H113">
            <v>4442</v>
          </cell>
          <cell r="I113" t="str">
            <v>Railton</v>
          </cell>
          <cell r="J113" t="str">
            <v>TJ06</v>
          </cell>
          <cell r="K113" t="str">
            <v>Paloona</v>
          </cell>
        </row>
        <row r="114">
          <cell r="H114">
            <v>4617</v>
          </cell>
          <cell r="I114" t="str">
            <v>Prion</v>
          </cell>
          <cell r="J114" t="str">
            <v>TT06</v>
          </cell>
          <cell r="K114" t="str">
            <v>South Coast</v>
          </cell>
        </row>
        <row r="115">
          <cell r="H115">
            <v>4618</v>
          </cell>
          <cell r="I115" t="str">
            <v>Precipitous</v>
          </cell>
          <cell r="J115" t="str">
            <v>TS07</v>
          </cell>
          <cell r="K115" t="str">
            <v>Adamsons</v>
          </cell>
        </row>
        <row r="116">
          <cell r="H116">
            <v>4619</v>
          </cell>
          <cell r="I116" t="str">
            <v>Bisdee</v>
          </cell>
          <cell r="J116" t="str">
            <v>TS07</v>
          </cell>
          <cell r="K116" t="str">
            <v>Adamsons</v>
          </cell>
        </row>
        <row r="117">
          <cell r="H117">
            <v>4620</v>
          </cell>
          <cell r="I117" t="str">
            <v>Bobs</v>
          </cell>
          <cell r="J117" t="str">
            <v>TS07</v>
          </cell>
          <cell r="K117" t="str">
            <v>Adamsons</v>
          </cell>
        </row>
        <row r="118">
          <cell r="H118">
            <v>4621</v>
          </cell>
          <cell r="I118" t="str">
            <v>Burgess</v>
          </cell>
          <cell r="J118" t="str">
            <v>TR07</v>
          </cell>
          <cell r="K118" t="str">
            <v>Hartz</v>
          </cell>
        </row>
        <row r="119">
          <cell r="H119">
            <v>4622</v>
          </cell>
          <cell r="I119" t="str">
            <v>Picton</v>
          </cell>
          <cell r="J119" t="str">
            <v>TR07</v>
          </cell>
          <cell r="K119" t="str">
            <v>Hartz</v>
          </cell>
        </row>
        <row r="120">
          <cell r="H120">
            <v>4623</v>
          </cell>
          <cell r="I120" t="str">
            <v>Weld</v>
          </cell>
          <cell r="J120" t="str">
            <v>TR07</v>
          </cell>
          <cell r="K120" t="str">
            <v>Hartz</v>
          </cell>
        </row>
        <row r="121">
          <cell r="H121">
            <v>4624</v>
          </cell>
          <cell r="I121" t="str">
            <v>Nevada</v>
          </cell>
          <cell r="J121" t="str">
            <v>TQ07</v>
          </cell>
          <cell r="K121" t="str">
            <v>Snowy Range</v>
          </cell>
        </row>
        <row r="122">
          <cell r="H122">
            <v>4625</v>
          </cell>
          <cell r="I122" t="str">
            <v>Skeleton</v>
          </cell>
          <cell r="J122" t="str">
            <v>TQ07</v>
          </cell>
          <cell r="K122" t="str">
            <v>Snowy Range</v>
          </cell>
        </row>
        <row r="123">
          <cell r="H123">
            <v>4626</v>
          </cell>
          <cell r="I123" t="str">
            <v>Maydena</v>
          </cell>
          <cell r="J123" t="str">
            <v>TQ07</v>
          </cell>
          <cell r="K123" t="str">
            <v>Snowy Range</v>
          </cell>
        </row>
        <row r="124">
          <cell r="H124">
            <v>4627</v>
          </cell>
          <cell r="I124" t="str">
            <v>Dobson</v>
          </cell>
          <cell r="J124" t="str">
            <v>TP07</v>
          </cell>
          <cell r="K124" t="str">
            <v>Meadowbank</v>
          </cell>
        </row>
        <row r="125">
          <cell r="H125">
            <v>4628</v>
          </cell>
          <cell r="I125" t="str">
            <v>Ellendale</v>
          </cell>
          <cell r="J125" t="str">
            <v>TP07</v>
          </cell>
          <cell r="K125" t="str">
            <v>Meadowbank</v>
          </cell>
        </row>
        <row r="126">
          <cell r="H126">
            <v>4629</v>
          </cell>
          <cell r="I126" t="str">
            <v>Ouse</v>
          </cell>
          <cell r="J126" t="str">
            <v>TP07</v>
          </cell>
          <cell r="K126" t="str">
            <v>Meadowbank</v>
          </cell>
        </row>
        <row r="127">
          <cell r="H127">
            <v>4632</v>
          </cell>
          <cell r="I127" t="str">
            <v>Echo</v>
          </cell>
          <cell r="J127" t="str">
            <v>TN07</v>
          </cell>
          <cell r="K127" t="str">
            <v>Victoria Valley</v>
          </cell>
        </row>
        <row r="128">
          <cell r="H128">
            <v>4633</v>
          </cell>
          <cell r="I128" t="str">
            <v>Waddamana</v>
          </cell>
          <cell r="J128" t="str">
            <v>TM07</v>
          </cell>
          <cell r="K128" t="str">
            <v>Penstock</v>
          </cell>
        </row>
        <row r="129">
          <cell r="H129">
            <v>4634</v>
          </cell>
          <cell r="I129" t="str">
            <v>Monpeelyata</v>
          </cell>
          <cell r="J129" t="str">
            <v>TM07</v>
          </cell>
          <cell r="K129" t="str">
            <v>Penstock</v>
          </cell>
        </row>
        <row r="130">
          <cell r="H130">
            <v>4635</v>
          </cell>
          <cell r="I130" t="str">
            <v>Miena</v>
          </cell>
          <cell r="J130" t="str">
            <v>TM07</v>
          </cell>
          <cell r="K130" t="str">
            <v>Penstock</v>
          </cell>
        </row>
        <row r="131">
          <cell r="H131">
            <v>4636</v>
          </cell>
          <cell r="I131" t="str">
            <v>Split Rock</v>
          </cell>
          <cell r="J131" t="str">
            <v>TL07</v>
          </cell>
          <cell r="K131" t="str">
            <v>Breton</v>
          </cell>
        </row>
        <row r="132">
          <cell r="H132">
            <v>4637</v>
          </cell>
          <cell r="I132" t="str">
            <v>Breona</v>
          </cell>
          <cell r="J132" t="str">
            <v>TL07</v>
          </cell>
          <cell r="K132" t="str">
            <v>Breton</v>
          </cell>
        </row>
        <row r="133">
          <cell r="H133">
            <v>4638</v>
          </cell>
          <cell r="I133" t="str">
            <v>Quamby Bluff</v>
          </cell>
          <cell r="J133" t="str">
            <v>TL07</v>
          </cell>
          <cell r="K133" t="str">
            <v>Breton</v>
          </cell>
        </row>
        <row r="134">
          <cell r="H134">
            <v>4639</v>
          </cell>
          <cell r="I134" t="str">
            <v>Montana</v>
          </cell>
          <cell r="J134" t="str">
            <v>TK07</v>
          </cell>
          <cell r="K134" t="str">
            <v>Meander Valley</v>
          </cell>
        </row>
        <row r="135">
          <cell r="H135">
            <v>4641</v>
          </cell>
          <cell r="I135" t="str">
            <v>Parkham</v>
          </cell>
          <cell r="J135" t="str">
            <v>TK07</v>
          </cell>
          <cell r="K135" t="str">
            <v>Meander Valley</v>
          </cell>
        </row>
        <row r="136">
          <cell r="H136">
            <v>4643</v>
          </cell>
          <cell r="I136" t="str">
            <v>Harford</v>
          </cell>
          <cell r="J136" t="str">
            <v>TJ07</v>
          </cell>
          <cell r="K136" t="str">
            <v>Dazzler</v>
          </cell>
        </row>
        <row r="137">
          <cell r="H137">
            <v>4644</v>
          </cell>
          <cell r="I137" t="str">
            <v>Port Sorell</v>
          </cell>
          <cell r="J137" t="str">
            <v>TJ07</v>
          </cell>
          <cell r="K137" t="str">
            <v>Dazzler</v>
          </cell>
        </row>
        <row r="138">
          <cell r="H138">
            <v>4818</v>
          </cell>
          <cell r="I138" t="str">
            <v>Leprena</v>
          </cell>
          <cell r="J138" t="str">
            <v>TS07</v>
          </cell>
          <cell r="K138" t="str">
            <v>Adamsons</v>
          </cell>
        </row>
        <row r="139">
          <cell r="H139">
            <v>4819</v>
          </cell>
          <cell r="I139" t="str">
            <v>Hastings</v>
          </cell>
          <cell r="J139" t="str">
            <v>TS07</v>
          </cell>
          <cell r="K139" t="str">
            <v>Adamsons</v>
          </cell>
        </row>
        <row r="140">
          <cell r="H140">
            <v>4820</v>
          </cell>
          <cell r="I140" t="str">
            <v>Raminea</v>
          </cell>
          <cell r="J140" t="str">
            <v>TS07</v>
          </cell>
          <cell r="K140" t="str">
            <v>Adamsons</v>
          </cell>
        </row>
        <row r="141">
          <cell r="H141">
            <v>4821</v>
          </cell>
          <cell r="I141" t="str">
            <v>Waterloo</v>
          </cell>
          <cell r="J141" t="str">
            <v>TR07</v>
          </cell>
          <cell r="K141" t="str">
            <v>Hartz</v>
          </cell>
        </row>
        <row r="142">
          <cell r="H142">
            <v>4824</v>
          </cell>
          <cell r="I142" t="str">
            <v>Lonnavale</v>
          </cell>
          <cell r="J142" t="str">
            <v>TQ07</v>
          </cell>
          <cell r="K142" t="str">
            <v>Snowy Range</v>
          </cell>
        </row>
        <row r="143">
          <cell r="H143">
            <v>4825</v>
          </cell>
          <cell r="I143" t="str">
            <v>Lloyd</v>
          </cell>
          <cell r="J143" t="str">
            <v>TQ07</v>
          </cell>
          <cell r="K143" t="str">
            <v>Snowy Range</v>
          </cell>
        </row>
        <row r="144">
          <cell r="H144">
            <v>4827</v>
          </cell>
          <cell r="I144" t="str">
            <v>Bushy Park</v>
          </cell>
          <cell r="J144" t="str">
            <v>TP07</v>
          </cell>
          <cell r="K144" t="str">
            <v>Meadowbank</v>
          </cell>
        </row>
        <row r="145">
          <cell r="H145">
            <v>4828</v>
          </cell>
          <cell r="I145" t="str">
            <v>Hamilton</v>
          </cell>
          <cell r="J145" t="str">
            <v>TP07</v>
          </cell>
          <cell r="K145" t="str">
            <v>Meadowbank</v>
          </cell>
        </row>
        <row r="146">
          <cell r="H146">
            <v>4829</v>
          </cell>
          <cell r="I146" t="str">
            <v>Montacute</v>
          </cell>
          <cell r="J146" t="str">
            <v>TP07</v>
          </cell>
          <cell r="K146" t="str">
            <v>Meadowbank</v>
          </cell>
        </row>
        <row r="147">
          <cell r="H147">
            <v>4831</v>
          </cell>
          <cell r="I147" t="str">
            <v>Cluny</v>
          </cell>
          <cell r="J147" t="str">
            <v>TN07</v>
          </cell>
          <cell r="K147" t="str">
            <v>Victoria Valley</v>
          </cell>
        </row>
        <row r="148">
          <cell r="H148">
            <v>4833</v>
          </cell>
          <cell r="I148" t="str">
            <v>Steppes</v>
          </cell>
          <cell r="J148" t="str">
            <v>TM07</v>
          </cell>
          <cell r="K148" t="str">
            <v>Penstock</v>
          </cell>
        </row>
        <row r="149">
          <cell r="H149">
            <v>4834</v>
          </cell>
          <cell r="I149" t="str">
            <v>Wihareja</v>
          </cell>
          <cell r="J149" t="str">
            <v>TM07</v>
          </cell>
          <cell r="K149" t="str">
            <v>Penstock</v>
          </cell>
        </row>
        <row r="150">
          <cell r="H150">
            <v>4835</v>
          </cell>
          <cell r="I150" t="str">
            <v>Arthurs Lake</v>
          </cell>
          <cell r="J150" t="str">
            <v>TM07</v>
          </cell>
          <cell r="K150" t="str">
            <v>Penstock</v>
          </cell>
        </row>
        <row r="151">
          <cell r="H151">
            <v>4836</v>
          </cell>
          <cell r="I151" t="str">
            <v>Bradys Lookout</v>
          </cell>
          <cell r="J151" t="str">
            <v>TL07</v>
          </cell>
          <cell r="K151" t="str">
            <v>Breton</v>
          </cell>
        </row>
        <row r="152">
          <cell r="H152">
            <v>4837</v>
          </cell>
          <cell r="I152" t="str">
            <v>Poatina</v>
          </cell>
          <cell r="J152" t="str">
            <v>TL07</v>
          </cell>
          <cell r="K152" t="str">
            <v>Breton</v>
          </cell>
        </row>
        <row r="153">
          <cell r="H153">
            <v>4838</v>
          </cell>
          <cell r="I153" t="str">
            <v>Liffey</v>
          </cell>
          <cell r="J153" t="str">
            <v>TL07</v>
          </cell>
          <cell r="K153" t="str">
            <v>Breton</v>
          </cell>
        </row>
        <row r="154">
          <cell r="H154">
            <v>4841</v>
          </cell>
          <cell r="I154" t="str">
            <v>Bridgenorth</v>
          </cell>
          <cell r="J154" t="str">
            <v>TK07</v>
          </cell>
          <cell r="K154" t="str">
            <v>Meander Valley</v>
          </cell>
        </row>
        <row r="155">
          <cell r="H155">
            <v>4842</v>
          </cell>
          <cell r="I155" t="str">
            <v>Exeter</v>
          </cell>
          <cell r="J155" t="str">
            <v>TJ07</v>
          </cell>
          <cell r="K155" t="str">
            <v>Dazzler</v>
          </cell>
        </row>
        <row r="156">
          <cell r="H156">
            <v>5020</v>
          </cell>
          <cell r="I156" t="str">
            <v>Dover</v>
          </cell>
          <cell r="J156" t="str">
            <v>TS08</v>
          </cell>
          <cell r="K156" t="str">
            <v>South Bruny</v>
          </cell>
        </row>
        <row r="157">
          <cell r="H157">
            <v>5021</v>
          </cell>
          <cell r="I157" t="str">
            <v>Lymington</v>
          </cell>
          <cell r="J157" t="str">
            <v>TR08</v>
          </cell>
          <cell r="K157" t="str">
            <v>Channel</v>
          </cell>
        </row>
        <row r="158">
          <cell r="H158">
            <v>5022</v>
          </cell>
          <cell r="I158" t="str">
            <v>Cygnet</v>
          </cell>
          <cell r="J158" t="str">
            <v>TR08</v>
          </cell>
          <cell r="K158" t="str">
            <v>Channel</v>
          </cell>
        </row>
        <row r="159">
          <cell r="H159">
            <v>5023</v>
          </cell>
          <cell r="I159" t="str">
            <v>Huonville</v>
          </cell>
          <cell r="J159" t="str">
            <v>TR08</v>
          </cell>
          <cell r="K159" t="str">
            <v>Channel</v>
          </cell>
        </row>
        <row r="160">
          <cell r="H160">
            <v>5024</v>
          </cell>
          <cell r="I160" t="str">
            <v>Longley</v>
          </cell>
          <cell r="J160" t="str">
            <v>TQ08</v>
          </cell>
          <cell r="K160" t="str">
            <v>Wellington</v>
          </cell>
        </row>
        <row r="161">
          <cell r="H161">
            <v>5025</v>
          </cell>
          <cell r="I161" t="str">
            <v>Collinsvale</v>
          </cell>
          <cell r="J161" t="str">
            <v>TQ08</v>
          </cell>
          <cell r="K161" t="str">
            <v>Wellington</v>
          </cell>
        </row>
        <row r="162">
          <cell r="H162">
            <v>5026</v>
          </cell>
          <cell r="I162" t="str">
            <v>New Norfolk</v>
          </cell>
          <cell r="J162" t="str">
            <v>TQ08</v>
          </cell>
          <cell r="K162" t="str">
            <v>Wellington</v>
          </cell>
        </row>
        <row r="163">
          <cell r="H163">
            <v>5027</v>
          </cell>
          <cell r="I163" t="str">
            <v>Broadmarsh</v>
          </cell>
          <cell r="J163" t="str">
            <v>TP08</v>
          </cell>
          <cell r="K163" t="str">
            <v>Green Ponds</v>
          </cell>
        </row>
        <row r="164">
          <cell r="H164">
            <v>5028</v>
          </cell>
          <cell r="I164" t="str">
            <v>Elderslie</v>
          </cell>
          <cell r="J164" t="str">
            <v>TP08</v>
          </cell>
          <cell r="K164" t="str">
            <v>Green Ponds</v>
          </cell>
        </row>
        <row r="165">
          <cell r="H165">
            <v>5029</v>
          </cell>
          <cell r="I165" t="str">
            <v>Kempton</v>
          </cell>
          <cell r="J165" t="str">
            <v>TP08</v>
          </cell>
          <cell r="K165" t="str">
            <v>Green Ponds</v>
          </cell>
        </row>
        <row r="166">
          <cell r="H166">
            <v>5030</v>
          </cell>
          <cell r="I166" t="str">
            <v>Bothwell</v>
          </cell>
          <cell r="J166" t="str">
            <v>TN08</v>
          </cell>
          <cell r="K166" t="str">
            <v>Tiberias</v>
          </cell>
        </row>
        <row r="167">
          <cell r="H167">
            <v>5031</v>
          </cell>
          <cell r="I167" t="str">
            <v>Dennistoun</v>
          </cell>
          <cell r="J167" t="str">
            <v>TN08</v>
          </cell>
          <cell r="K167" t="str">
            <v>Tiberias</v>
          </cell>
        </row>
        <row r="168">
          <cell r="H168">
            <v>5032</v>
          </cell>
          <cell r="I168" t="str">
            <v>Table</v>
          </cell>
          <cell r="J168" t="str">
            <v>TN08</v>
          </cell>
          <cell r="K168" t="str">
            <v>Tiberias</v>
          </cell>
        </row>
        <row r="169">
          <cell r="H169">
            <v>5033</v>
          </cell>
          <cell r="I169" t="str">
            <v>Interlaken</v>
          </cell>
          <cell r="J169" t="str">
            <v>TM08</v>
          </cell>
          <cell r="K169" t="str">
            <v>Dogs Head Tier</v>
          </cell>
        </row>
        <row r="170">
          <cell r="H170">
            <v>5034</v>
          </cell>
          <cell r="I170" t="str">
            <v>Penny</v>
          </cell>
          <cell r="J170" t="str">
            <v>TM08</v>
          </cell>
          <cell r="K170" t="str">
            <v>Dogs Head Tier</v>
          </cell>
        </row>
        <row r="171">
          <cell r="H171">
            <v>5035</v>
          </cell>
          <cell r="I171" t="str">
            <v>Millers</v>
          </cell>
          <cell r="J171" t="str">
            <v>TM08</v>
          </cell>
          <cell r="K171" t="str">
            <v>Dogs Head Tier</v>
          </cell>
        </row>
        <row r="172">
          <cell r="H172">
            <v>5036</v>
          </cell>
          <cell r="I172" t="str">
            <v>O'Connors</v>
          </cell>
          <cell r="J172" t="str">
            <v>TL08</v>
          </cell>
          <cell r="K172" t="str">
            <v>Hummocky</v>
          </cell>
        </row>
        <row r="173">
          <cell r="H173">
            <v>5040</v>
          </cell>
          <cell r="I173" t="str">
            <v>Prospect</v>
          </cell>
          <cell r="J173" t="str">
            <v>TK08</v>
          </cell>
          <cell r="K173" t="str">
            <v>Perth</v>
          </cell>
        </row>
        <row r="174">
          <cell r="H174">
            <v>5043</v>
          </cell>
          <cell r="I174" t="str">
            <v>Lilydale</v>
          </cell>
          <cell r="J174" t="str">
            <v>TJ08</v>
          </cell>
          <cell r="K174" t="str">
            <v>Sideling</v>
          </cell>
        </row>
        <row r="175">
          <cell r="H175">
            <v>5118</v>
          </cell>
          <cell r="I175" t="str">
            <v>Cloudy</v>
          </cell>
          <cell r="J175" t="str">
            <v>TS08</v>
          </cell>
          <cell r="K175" t="str">
            <v>South Bruny</v>
          </cell>
        </row>
        <row r="176">
          <cell r="H176">
            <v>5219</v>
          </cell>
          <cell r="I176" t="str">
            <v>Fluted Cape</v>
          </cell>
          <cell r="J176" t="str">
            <v>TS08</v>
          </cell>
          <cell r="K176" t="str">
            <v>South Bruny</v>
          </cell>
        </row>
        <row r="177">
          <cell r="H177">
            <v>5220</v>
          </cell>
          <cell r="I177" t="str">
            <v>Adventure Bay</v>
          </cell>
          <cell r="J177" t="str">
            <v>TS08</v>
          </cell>
          <cell r="K177" t="str">
            <v>South Bruny</v>
          </cell>
        </row>
        <row r="178">
          <cell r="H178">
            <v>5224</v>
          </cell>
          <cell r="I178" t="str">
            <v>Taroona</v>
          </cell>
          <cell r="J178" t="str">
            <v>TQ08</v>
          </cell>
          <cell r="K178" t="str">
            <v>Wellington</v>
          </cell>
        </row>
        <row r="179">
          <cell r="H179">
            <v>5225</v>
          </cell>
          <cell r="I179" t="str">
            <v>Hobart</v>
          </cell>
          <cell r="J179" t="str">
            <v>TQ08</v>
          </cell>
          <cell r="K179" t="str">
            <v>Wellington</v>
          </cell>
        </row>
        <row r="180">
          <cell r="H180">
            <v>5226</v>
          </cell>
          <cell r="I180" t="str">
            <v>Richmond</v>
          </cell>
          <cell r="J180" t="str">
            <v>TQ08</v>
          </cell>
          <cell r="K180" t="str">
            <v>Wellington</v>
          </cell>
        </row>
        <row r="181">
          <cell r="H181">
            <v>5227</v>
          </cell>
          <cell r="I181" t="str">
            <v>Tea Tree</v>
          </cell>
          <cell r="J181" t="str">
            <v>TP08</v>
          </cell>
          <cell r="K181" t="str">
            <v>Green Ponds</v>
          </cell>
        </row>
        <row r="182">
          <cell r="H182">
            <v>5228</v>
          </cell>
          <cell r="I182" t="str">
            <v>Bains</v>
          </cell>
          <cell r="J182" t="str">
            <v>TP08</v>
          </cell>
          <cell r="K182" t="str">
            <v>Green Ponds</v>
          </cell>
        </row>
        <row r="183">
          <cell r="H183">
            <v>5229</v>
          </cell>
          <cell r="I183" t="str">
            <v>Colebrook</v>
          </cell>
          <cell r="J183" t="str">
            <v>TP08</v>
          </cell>
          <cell r="K183" t="str">
            <v>Green Ponds</v>
          </cell>
        </row>
        <row r="184">
          <cell r="H184">
            <v>5230</v>
          </cell>
          <cell r="I184" t="str">
            <v>Stonor</v>
          </cell>
          <cell r="J184" t="str">
            <v>TN08</v>
          </cell>
          <cell r="K184" t="str">
            <v>Tiberias</v>
          </cell>
        </row>
        <row r="185">
          <cell r="H185">
            <v>5231</v>
          </cell>
          <cell r="I185" t="str">
            <v>Oatlands</v>
          </cell>
          <cell r="J185" t="str">
            <v>TN08</v>
          </cell>
          <cell r="K185" t="str">
            <v>Tiberias</v>
          </cell>
        </row>
        <row r="186">
          <cell r="H186">
            <v>5232</v>
          </cell>
          <cell r="I186" t="str">
            <v>Vincents</v>
          </cell>
          <cell r="J186" t="str">
            <v>TN08</v>
          </cell>
          <cell r="K186" t="str">
            <v>Tiberias</v>
          </cell>
        </row>
        <row r="187">
          <cell r="H187">
            <v>5233</v>
          </cell>
          <cell r="I187" t="str">
            <v>Tunbridge</v>
          </cell>
          <cell r="J187" t="str">
            <v>TM08</v>
          </cell>
          <cell r="K187" t="str">
            <v>Dogs Head Tier</v>
          </cell>
        </row>
        <row r="188">
          <cell r="H188">
            <v>5234</v>
          </cell>
          <cell r="I188" t="str">
            <v>Ellinthorp</v>
          </cell>
          <cell r="J188" t="str">
            <v>TM08</v>
          </cell>
          <cell r="K188" t="str">
            <v>Dogs Head Tier</v>
          </cell>
        </row>
        <row r="189">
          <cell r="H189">
            <v>5238</v>
          </cell>
          <cell r="I189" t="str">
            <v>Nile</v>
          </cell>
          <cell r="J189" t="str">
            <v>TL08</v>
          </cell>
          <cell r="K189" t="str">
            <v>Hummocky</v>
          </cell>
        </row>
        <row r="190">
          <cell r="H190">
            <v>5239</v>
          </cell>
          <cell r="I190" t="str">
            <v>Evandale</v>
          </cell>
          <cell r="J190" t="str">
            <v>TK08</v>
          </cell>
          <cell r="K190" t="str">
            <v>Perth</v>
          </cell>
        </row>
        <row r="191">
          <cell r="H191">
            <v>5240</v>
          </cell>
          <cell r="I191" t="str">
            <v>Blessington</v>
          </cell>
          <cell r="J191" t="str">
            <v>TK08</v>
          </cell>
          <cell r="K191" t="str">
            <v>Perth</v>
          </cell>
        </row>
        <row r="192">
          <cell r="H192">
            <v>5241</v>
          </cell>
          <cell r="I192" t="str">
            <v>Nunamara</v>
          </cell>
          <cell r="J192" t="str">
            <v>TK08</v>
          </cell>
          <cell r="K192" t="str">
            <v>Perth</v>
          </cell>
        </row>
        <row r="193">
          <cell r="H193">
            <v>5243</v>
          </cell>
          <cell r="I193" t="str">
            <v>Lisle</v>
          </cell>
          <cell r="J193" t="str">
            <v>TJ08</v>
          </cell>
          <cell r="K193" t="str">
            <v>Sideling</v>
          </cell>
        </row>
        <row r="194">
          <cell r="H194">
            <v>5244</v>
          </cell>
          <cell r="I194" t="str">
            <v>Nawbowla</v>
          </cell>
          <cell r="J194" t="str">
            <v>TJ08</v>
          </cell>
          <cell r="K194" t="str">
            <v>Sideling</v>
          </cell>
        </row>
        <row r="195">
          <cell r="H195">
            <v>5423</v>
          </cell>
          <cell r="I195" t="str">
            <v>Communication</v>
          </cell>
          <cell r="J195" t="str">
            <v>TR09</v>
          </cell>
          <cell r="K195" t="str">
            <v>Tasman Peninsula</v>
          </cell>
        </row>
        <row r="196">
          <cell r="H196">
            <v>5426</v>
          </cell>
          <cell r="I196" t="str">
            <v>Sorell</v>
          </cell>
          <cell r="J196" t="str">
            <v>TQ09</v>
          </cell>
          <cell r="K196" t="str">
            <v>Frederick Henry</v>
          </cell>
        </row>
        <row r="197">
          <cell r="H197">
            <v>5427</v>
          </cell>
          <cell r="I197" t="str">
            <v>Runnymede</v>
          </cell>
          <cell r="J197" t="str">
            <v>TP09</v>
          </cell>
          <cell r="K197" t="str">
            <v>Prosser</v>
          </cell>
        </row>
        <row r="198">
          <cell r="H198">
            <v>5428</v>
          </cell>
          <cell r="I198" t="str">
            <v>Buckland</v>
          </cell>
          <cell r="J198" t="str">
            <v>TP09</v>
          </cell>
          <cell r="K198" t="str">
            <v>Prosser</v>
          </cell>
        </row>
        <row r="199">
          <cell r="H199">
            <v>5429</v>
          </cell>
          <cell r="I199" t="str">
            <v>Woodsdale</v>
          </cell>
          <cell r="J199" t="str">
            <v>TP09</v>
          </cell>
          <cell r="K199" t="str">
            <v>Prosser</v>
          </cell>
        </row>
        <row r="200">
          <cell r="H200">
            <v>5430</v>
          </cell>
          <cell r="I200" t="str">
            <v>Whiteford</v>
          </cell>
          <cell r="J200" t="str">
            <v>TN09</v>
          </cell>
          <cell r="K200" t="str">
            <v>Swanston</v>
          </cell>
        </row>
        <row r="201">
          <cell r="H201">
            <v>5431</v>
          </cell>
          <cell r="I201" t="str">
            <v>Lamont</v>
          </cell>
          <cell r="J201" t="str">
            <v>TN09</v>
          </cell>
          <cell r="K201" t="str">
            <v>Swanston</v>
          </cell>
        </row>
        <row r="202">
          <cell r="H202">
            <v>5432</v>
          </cell>
          <cell r="I202" t="str">
            <v>Faddens</v>
          </cell>
          <cell r="J202" t="str">
            <v>TN09</v>
          </cell>
          <cell r="K202" t="str">
            <v>Swanston</v>
          </cell>
        </row>
        <row r="203">
          <cell r="H203">
            <v>5433</v>
          </cell>
          <cell r="I203" t="str">
            <v>Morriston</v>
          </cell>
          <cell r="J203" t="str">
            <v>TM09</v>
          </cell>
          <cell r="K203" t="str">
            <v>Lake Leake</v>
          </cell>
        </row>
        <row r="204">
          <cell r="H204">
            <v>5435</v>
          </cell>
          <cell r="I204" t="str">
            <v>Campbell Town</v>
          </cell>
          <cell r="J204" t="str">
            <v>TM09</v>
          </cell>
          <cell r="K204" t="str">
            <v>Lake Leake</v>
          </cell>
        </row>
        <row r="205">
          <cell r="H205">
            <v>5436</v>
          </cell>
          <cell r="I205" t="str">
            <v>Diamond</v>
          </cell>
          <cell r="J205" t="str">
            <v>TL09</v>
          </cell>
          <cell r="K205" t="str">
            <v>Avoca</v>
          </cell>
        </row>
        <row r="206">
          <cell r="H206">
            <v>5437</v>
          </cell>
          <cell r="I206" t="str">
            <v>Hanleth</v>
          </cell>
          <cell r="J206" t="str">
            <v>TL09</v>
          </cell>
          <cell r="K206" t="str">
            <v>Avoca</v>
          </cell>
        </row>
        <row r="207">
          <cell r="H207">
            <v>5438</v>
          </cell>
          <cell r="I207" t="str">
            <v>Stanhope</v>
          </cell>
          <cell r="J207" t="str">
            <v>TL09</v>
          </cell>
          <cell r="K207" t="str">
            <v>Avoca</v>
          </cell>
        </row>
        <row r="208">
          <cell r="H208">
            <v>5439</v>
          </cell>
          <cell r="I208" t="str">
            <v>Stacks</v>
          </cell>
          <cell r="J208" t="str">
            <v>TK09</v>
          </cell>
          <cell r="K208" t="str">
            <v>Ben Lomond</v>
          </cell>
        </row>
        <row r="209">
          <cell r="H209">
            <v>5440</v>
          </cell>
          <cell r="I209" t="str">
            <v>Giblin</v>
          </cell>
          <cell r="J209" t="str">
            <v>TK09</v>
          </cell>
          <cell r="K209" t="str">
            <v>Ben Lomond</v>
          </cell>
        </row>
        <row r="210">
          <cell r="H210">
            <v>5441</v>
          </cell>
          <cell r="I210" t="str">
            <v>Ben Nevis</v>
          </cell>
          <cell r="J210" t="str">
            <v>TK09</v>
          </cell>
          <cell r="K210" t="str">
            <v>Ben Lomond</v>
          </cell>
        </row>
        <row r="211">
          <cell r="H211">
            <v>5442</v>
          </cell>
          <cell r="I211" t="str">
            <v>Maurice</v>
          </cell>
          <cell r="J211" t="str">
            <v>TJ09</v>
          </cell>
          <cell r="K211" t="str">
            <v>Legerwood</v>
          </cell>
        </row>
        <row r="212">
          <cell r="H212">
            <v>5443</v>
          </cell>
          <cell r="I212" t="str">
            <v>Springfield</v>
          </cell>
          <cell r="J212" t="str">
            <v>TJ09</v>
          </cell>
          <cell r="K212" t="str">
            <v>Legerwood</v>
          </cell>
        </row>
        <row r="213">
          <cell r="H213">
            <v>5444</v>
          </cell>
          <cell r="I213" t="str">
            <v>Scottsdale</v>
          </cell>
          <cell r="J213" t="str">
            <v>TJ09</v>
          </cell>
          <cell r="K213" t="str">
            <v>Legerwood</v>
          </cell>
        </row>
        <row r="214">
          <cell r="H214">
            <v>5521</v>
          </cell>
          <cell r="I214" t="str">
            <v>Raoul</v>
          </cell>
          <cell r="J214" t="str">
            <v>TR09</v>
          </cell>
          <cell r="K214" t="str">
            <v>Tasman Peninsula</v>
          </cell>
        </row>
        <row r="215">
          <cell r="H215">
            <v>5522</v>
          </cell>
          <cell r="I215" t="str">
            <v>Port Arthur</v>
          </cell>
          <cell r="J215" t="str">
            <v>TR09</v>
          </cell>
          <cell r="K215" t="str">
            <v>Tasman Peninsula</v>
          </cell>
        </row>
        <row r="216">
          <cell r="H216">
            <v>5623</v>
          </cell>
          <cell r="I216" t="str">
            <v>Tarrana</v>
          </cell>
          <cell r="J216" t="str">
            <v>TR09</v>
          </cell>
          <cell r="K216" t="str">
            <v>Tasman Peninsula</v>
          </cell>
        </row>
        <row r="217">
          <cell r="H217">
            <v>5624</v>
          </cell>
          <cell r="I217" t="str">
            <v>Murdunna</v>
          </cell>
          <cell r="J217" t="str">
            <v>TQ09</v>
          </cell>
          <cell r="K217" t="str">
            <v>Frederick Henry</v>
          </cell>
        </row>
        <row r="218">
          <cell r="H218">
            <v>5626</v>
          </cell>
          <cell r="I218" t="str">
            <v>Kellevie</v>
          </cell>
          <cell r="J218" t="str">
            <v>TQ09</v>
          </cell>
          <cell r="K218" t="str">
            <v>Frederick Henry</v>
          </cell>
        </row>
        <row r="219">
          <cell r="H219">
            <v>5627</v>
          </cell>
          <cell r="I219" t="str">
            <v>Sandspit</v>
          </cell>
          <cell r="J219" t="str">
            <v>TP09</v>
          </cell>
          <cell r="K219" t="str">
            <v>Prosser</v>
          </cell>
        </row>
        <row r="220">
          <cell r="H220">
            <v>5628</v>
          </cell>
          <cell r="I220" t="str">
            <v>Orford</v>
          </cell>
          <cell r="J220" t="str">
            <v>TP09</v>
          </cell>
          <cell r="K220" t="str">
            <v>Prosser</v>
          </cell>
        </row>
        <row r="221">
          <cell r="H221">
            <v>5632</v>
          </cell>
          <cell r="I221" t="str">
            <v>Tooms</v>
          </cell>
          <cell r="J221" t="str">
            <v>TN09</v>
          </cell>
          <cell r="K221" t="str">
            <v>Swanston</v>
          </cell>
        </row>
        <row r="222">
          <cell r="H222">
            <v>5633</v>
          </cell>
          <cell r="I222" t="str">
            <v>Colonels</v>
          </cell>
          <cell r="J222" t="str">
            <v>TM09</v>
          </cell>
          <cell r="K222" t="str">
            <v>Lake Leake</v>
          </cell>
        </row>
        <row r="223">
          <cell r="H223">
            <v>5634</v>
          </cell>
          <cell r="I223" t="str">
            <v>Leake</v>
          </cell>
          <cell r="J223" t="str">
            <v>TM09</v>
          </cell>
          <cell r="K223" t="str">
            <v>Lake Leake</v>
          </cell>
        </row>
        <row r="224">
          <cell r="H224">
            <v>5635</v>
          </cell>
          <cell r="I224" t="str">
            <v>Snow</v>
          </cell>
          <cell r="J224" t="str">
            <v>TM09</v>
          </cell>
          <cell r="K224" t="str">
            <v>Lake Leake</v>
          </cell>
        </row>
        <row r="225">
          <cell r="H225">
            <v>5636</v>
          </cell>
          <cell r="I225" t="str">
            <v>Roys</v>
          </cell>
          <cell r="J225" t="str">
            <v>TL09</v>
          </cell>
          <cell r="K225" t="str">
            <v>Avoca</v>
          </cell>
        </row>
        <row r="226">
          <cell r="H226">
            <v>5637</v>
          </cell>
          <cell r="I226" t="str">
            <v>St Pauls Dome</v>
          </cell>
          <cell r="J226" t="str">
            <v>TL09</v>
          </cell>
          <cell r="K226" t="str">
            <v>Avoca</v>
          </cell>
        </row>
        <row r="227">
          <cell r="H227">
            <v>5638</v>
          </cell>
          <cell r="I227" t="str">
            <v>Rossarden</v>
          </cell>
          <cell r="J227" t="str">
            <v>TL09</v>
          </cell>
          <cell r="K227" t="str">
            <v>Avoca</v>
          </cell>
        </row>
        <row r="228">
          <cell r="H228">
            <v>5639</v>
          </cell>
          <cell r="I228" t="str">
            <v>Mangana</v>
          </cell>
          <cell r="J228" t="str">
            <v>TK09</v>
          </cell>
          <cell r="K228" t="str">
            <v>Ben Lomond</v>
          </cell>
        </row>
        <row r="229">
          <cell r="H229">
            <v>5640</v>
          </cell>
          <cell r="I229" t="str">
            <v>Mathinna</v>
          </cell>
          <cell r="J229" t="str">
            <v>TK09</v>
          </cell>
          <cell r="K229" t="str">
            <v>Ben Lomond</v>
          </cell>
        </row>
        <row r="230">
          <cell r="H230">
            <v>5641</v>
          </cell>
          <cell r="I230" t="str">
            <v>Saddleback</v>
          </cell>
          <cell r="J230" t="str">
            <v>TK09</v>
          </cell>
          <cell r="K230" t="str">
            <v>Ben Lomond</v>
          </cell>
        </row>
        <row r="231">
          <cell r="H231">
            <v>5642</v>
          </cell>
          <cell r="I231" t="str">
            <v>Victoria</v>
          </cell>
          <cell r="J231" t="str">
            <v>TJ09</v>
          </cell>
          <cell r="K231" t="str">
            <v>Legerwood</v>
          </cell>
        </row>
        <row r="232">
          <cell r="H232">
            <v>5643</v>
          </cell>
          <cell r="I232" t="str">
            <v>Ringarooma</v>
          </cell>
          <cell r="J232" t="str">
            <v>TJ09</v>
          </cell>
          <cell r="K232" t="str">
            <v>Legerwood</v>
          </cell>
        </row>
        <row r="233">
          <cell r="H233">
            <v>5645</v>
          </cell>
          <cell r="I233" t="str">
            <v>Pioneer</v>
          </cell>
          <cell r="J233" t="str">
            <v>TH09</v>
          </cell>
          <cell r="K233" t="str">
            <v>Boobyalla</v>
          </cell>
        </row>
        <row r="234">
          <cell r="H234">
            <v>5646</v>
          </cell>
          <cell r="I234" t="str">
            <v>Monarch</v>
          </cell>
          <cell r="J234" t="str">
            <v>TH09</v>
          </cell>
          <cell r="K234" t="str">
            <v>Boobyalla</v>
          </cell>
        </row>
        <row r="235">
          <cell r="H235">
            <v>5658</v>
          </cell>
          <cell r="I235" t="str">
            <v>Tanner</v>
          </cell>
          <cell r="J235" t="str">
            <v>TC09</v>
          </cell>
          <cell r="K235" t="str">
            <v>Blyth</v>
          </cell>
        </row>
        <row r="236">
          <cell r="H236">
            <v>5659</v>
          </cell>
          <cell r="I236" t="str">
            <v>Palana</v>
          </cell>
          <cell r="J236" t="str">
            <v>TC09</v>
          </cell>
          <cell r="K236" t="str">
            <v>Blyth</v>
          </cell>
        </row>
        <row r="237">
          <cell r="H237">
            <v>5721</v>
          </cell>
          <cell r="I237" t="str">
            <v>Tasman</v>
          </cell>
          <cell r="J237" t="str">
            <v>TR09</v>
          </cell>
          <cell r="K237" t="str">
            <v>Tasman Peninsula</v>
          </cell>
        </row>
        <row r="238">
          <cell r="H238">
            <v>5722</v>
          </cell>
          <cell r="I238" t="str">
            <v>Hippolyte</v>
          </cell>
          <cell r="J238" t="str">
            <v>TR09</v>
          </cell>
          <cell r="K238" t="str">
            <v>Tasman Peninsula</v>
          </cell>
        </row>
        <row r="239">
          <cell r="H239">
            <v>5754</v>
          </cell>
          <cell r="I239" t="str">
            <v>Loccota</v>
          </cell>
          <cell r="J239" t="str">
            <v>TD09</v>
          </cell>
          <cell r="K239" t="str">
            <v>Prime Seal</v>
          </cell>
        </row>
        <row r="240">
          <cell r="H240">
            <v>5755</v>
          </cell>
          <cell r="I240" t="str">
            <v>Whitemark</v>
          </cell>
          <cell r="J240" t="str">
            <v>TD09</v>
          </cell>
          <cell r="K240" t="str">
            <v>Prime Seal</v>
          </cell>
        </row>
        <row r="241">
          <cell r="H241">
            <v>5827</v>
          </cell>
          <cell r="I241" t="str">
            <v>Riedle</v>
          </cell>
          <cell r="J241" t="str">
            <v>TP10</v>
          </cell>
          <cell r="K241" t="str">
            <v>Maria</v>
          </cell>
        </row>
        <row r="242">
          <cell r="H242">
            <v>5828</v>
          </cell>
          <cell r="I242" t="str">
            <v>Darlington</v>
          </cell>
          <cell r="J242" t="str">
            <v>TP10</v>
          </cell>
          <cell r="K242" t="str">
            <v>Maria</v>
          </cell>
        </row>
        <row r="243">
          <cell r="H243">
            <v>5829</v>
          </cell>
          <cell r="I243" t="str">
            <v>Bouganville</v>
          </cell>
          <cell r="J243" t="str">
            <v>TP10</v>
          </cell>
          <cell r="K243" t="str">
            <v>Maria</v>
          </cell>
        </row>
        <row r="244">
          <cell r="H244">
            <v>5835</v>
          </cell>
          <cell r="I244" t="str">
            <v>Apslawn</v>
          </cell>
          <cell r="J244" t="str">
            <v>TM10</v>
          </cell>
          <cell r="K244" t="str">
            <v>Moulting Lagoon</v>
          </cell>
        </row>
        <row r="245">
          <cell r="H245">
            <v>5836</v>
          </cell>
          <cell r="I245" t="str">
            <v>Henry</v>
          </cell>
          <cell r="J245" t="str">
            <v>TL10</v>
          </cell>
          <cell r="K245" t="str">
            <v>Douglas River</v>
          </cell>
        </row>
        <row r="246">
          <cell r="H246">
            <v>5837</v>
          </cell>
          <cell r="I246" t="str">
            <v>St John</v>
          </cell>
          <cell r="J246" t="str">
            <v>TL10</v>
          </cell>
          <cell r="K246" t="str">
            <v>Douglas River</v>
          </cell>
        </row>
        <row r="247">
          <cell r="H247">
            <v>5838</v>
          </cell>
          <cell r="I247" t="str">
            <v>Fingal</v>
          </cell>
          <cell r="J247" t="str">
            <v>TL10</v>
          </cell>
          <cell r="K247" t="str">
            <v>Douglas River</v>
          </cell>
        </row>
        <row r="248">
          <cell r="H248">
            <v>5839</v>
          </cell>
          <cell r="I248" t="str">
            <v>St Marys</v>
          </cell>
          <cell r="J248" t="str">
            <v>TK10</v>
          </cell>
          <cell r="K248" t="str">
            <v>Nicholas</v>
          </cell>
        </row>
        <row r="249">
          <cell r="H249">
            <v>5840</v>
          </cell>
          <cell r="I249" t="str">
            <v>Dublin Town</v>
          </cell>
          <cell r="J249" t="str">
            <v>TK10</v>
          </cell>
          <cell r="K249" t="str">
            <v>Nicholas</v>
          </cell>
        </row>
        <row r="250">
          <cell r="H250">
            <v>5842</v>
          </cell>
          <cell r="I250" t="str">
            <v>Pyengana</v>
          </cell>
          <cell r="J250" t="str">
            <v>TJ10</v>
          </cell>
          <cell r="K250" t="str">
            <v>Bay of Fires</v>
          </cell>
        </row>
        <row r="251">
          <cell r="H251">
            <v>5843</v>
          </cell>
          <cell r="I251" t="str">
            <v>Blue Tier</v>
          </cell>
          <cell r="J251" t="str">
            <v>TJ10</v>
          </cell>
          <cell r="K251" t="str">
            <v>Bay of Fires</v>
          </cell>
        </row>
        <row r="252">
          <cell r="H252">
            <v>5844</v>
          </cell>
          <cell r="I252" t="str">
            <v>Spurrs Rivulet</v>
          </cell>
          <cell r="J252" t="str">
            <v>TJ10</v>
          </cell>
          <cell r="K252" t="str">
            <v>Bay of Fires</v>
          </cell>
        </row>
        <row r="253">
          <cell r="H253">
            <v>5846</v>
          </cell>
          <cell r="I253" t="str">
            <v>Gladstone</v>
          </cell>
          <cell r="J253" t="str">
            <v>TH10</v>
          </cell>
          <cell r="K253" t="str">
            <v>Mount William</v>
          </cell>
        </row>
        <row r="254">
          <cell r="H254">
            <v>5852</v>
          </cell>
          <cell r="I254" t="str">
            <v>Barretts</v>
          </cell>
          <cell r="J254" t="str">
            <v>TF10</v>
          </cell>
          <cell r="K254" t="str">
            <v>Armstrong</v>
          </cell>
        </row>
        <row r="255">
          <cell r="H255">
            <v>5853</v>
          </cell>
          <cell r="I255" t="str">
            <v>Anderson</v>
          </cell>
          <cell r="J255" t="str">
            <v>TF10</v>
          </cell>
          <cell r="K255" t="str">
            <v>Armstrong</v>
          </cell>
        </row>
        <row r="256">
          <cell r="H256">
            <v>5856</v>
          </cell>
          <cell r="I256" t="str">
            <v>Leventhorpe</v>
          </cell>
          <cell r="J256" t="str">
            <v>TD10</v>
          </cell>
          <cell r="K256" t="str">
            <v>Babel</v>
          </cell>
        </row>
        <row r="257">
          <cell r="H257">
            <v>5954</v>
          </cell>
          <cell r="I257" t="str">
            <v>Fisher</v>
          </cell>
          <cell r="J257" t="str">
            <v>TD10</v>
          </cell>
          <cell r="K257" t="str">
            <v>Babel</v>
          </cell>
        </row>
        <row r="258">
          <cell r="H258">
            <v>5955</v>
          </cell>
          <cell r="I258" t="str">
            <v>Loagan</v>
          </cell>
          <cell r="J258" t="str">
            <v>TD10</v>
          </cell>
          <cell r="K258" t="str">
            <v>Babel</v>
          </cell>
        </row>
        <row r="259">
          <cell r="H259">
            <v>6031</v>
          </cell>
          <cell r="I259" t="str">
            <v>Schouten</v>
          </cell>
          <cell r="J259" t="str">
            <v>TN10</v>
          </cell>
          <cell r="K259" t="str">
            <v>Great Oyster</v>
          </cell>
        </row>
        <row r="260">
          <cell r="H260">
            <v>6032</v>
          </cell>
          <cell r="I260" t="str">
            <v>Graham</v>
          </cell>
          <cell r="J260" t="str">
            <v>TN10</v>
          </cell>
          <cell r="K260" t="str">
            <v>Great Oyster</v>
          </cell>
        </row>
        <row r="261">
          <cell r="H261">
            <v>6033</v>
          </cell>
          <cell r="I261" t="str">
            <v>Coles Bay</v>
          </cell>
          <cell r="J261" t="str">
            <v>TM10</v>
          </cell>
          <cell r="K261" t="str">
            <v>Moulting Lagoon</v>
          </cell>
        </row>
        <row r="262">
          <cell r="H262">
            <v>6034</v>
          </cell>
          <cell r="I262" t="str">
            <v>Friendly</v>
          </cell>
          <cell r="J262" t="str">
            <v>TM10</v>
          </cell>
          <cell r="K262" t="str">
            <v>Moulting Lagoon</v>
          </cell>
        </row>
        <row r="263">
          <cell r="H263">
            <v>6035</v>
          </cell>
          <cell r="I263" t="str">
            <v>Lodi</v>
          </cell>
          <cell r="J263" t="str">
            <v>TM10</v>
          </cell>
          <cell r="K263" t="str">
            <v>Moulting Lagoon</v>
          </cell>
        </row>
        <row r="264">
          <cell r="H264">
            <v>6037</v>
          </cell>
          <cell r="I264" t="str">
            <v>Seymour</v>
          </cell>
          <cell r="J264" t="str">
            <v>TL10</v>
          </cell>
          <cell r="K264" t="str">
            <v>Douglas River</v>
          </cell>
        </row>
        <row r="265">
          <cell r="H265">
            <v>6039</v>
          </cell>
          <cell r="I265" t="str">
            <v>Ironhouse</v>
          </cell>
          <cell r="J265" t="str">
            <v>TK10</v>
          </cell>
          <cell r="K265" t="str">
            <v>Nicholas</v>
          </cell>
        </row>
        <row r="266">
          <cell r="H266">
            <v>6040</v>
          </cell>
          <cell r="I266" t="str">
            <v>Falmouth</v>
          </cell>
          <cell r="J266" t="str">
            <v>TK10</v>
          </cell>
          <cell r="K266" t="str">
            <v>Nicholas</v>
          </cell>
        </row>
        <row r="267">
          <cell r="H267">
            <v>6041</v>
          </cell>
          <cell r="I267" t="str">
            <v>Beamaris (Scamander)</v>
          </cell>
          <cell r="J267" t="str">
            <v>TK10</v>
          </cell>
          <cell r="K267" t="str">
            <v>Nicholas</v>
          </cell>
        </row>
        <row r="268">
          <cell r="H268">
            <v>6043</v>
          </cell>
          <cell r="I268" t="str">
            <v>Binalong</v>
          </cell>
          <cell r="J268" t="str">
            <v>TJ10</v>
          </cell>
          <cell r="K268" t="str">
            <v>Bay of Fires</v>
          </cell>
        </row>
        <row r="269">
          <cell r="H269">
            <v>6052</v>
          </cell>
          <cell r="I269" t="str">
            <v>Kerferd</v>
          </cell>
          <cell r="J269" t="str">
            <v>TF10</v>
          </cell>
          <cell r="K269" t="str">
            <v>Armstrong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F142-6A51-2A48-80E9-EC2B327D875F}">
  <sheetPr>
    <tabColor indexed="13"/>
  </sheetPr>
  <dimension ref="A1:AB980"/>
  <sheetViews>
    <sheetView tabSelected="1" workbookViewId="0">
      <pane ySplit="1" topLeftCell="A2" activePane="bottomLeft" state="frozen"/>
      <selection activeCell="L1" sqref="L1"/>
      <selection pane="bottomLeft" activeCell="X167" sqref="X167"/>
    </sheetView>
  </sheetViews>
  <sheetFormatPr baseColWidth="10" defaultColWidth="9.1640625" defaultRowHeight="13" x14ac:dyDescent="0.15"/>
  <cols>
    <col min="1" max="1" width="28.6640625" style="9" customWidth="1"/>
    <col min="2" max="2" width="6.6640625" style="9" customWidth="1"/>
    <col min="3" max="3" width="15.83203125" style="9" bestFit="1" customWidth="1"/>
    <col min="4" max="4" width="6.6640625" style="9" hidden="1" customWidth="1"/>
    <col min="5" max="5" width="15" style="9" hidden="1" customWidth="1"/>
    <col min="6" max="6" width="13.5" style="9" hidden="1" customWidth="1"/>
    <col min="7" max="7" width="20" style="9" hidden="1" customWidth="1"/>
    <col min="8" max="8" width="6.6640625" style="9" hidden="1" customWidth="1"/>
    <col min="9" max="10" width="10.6640625" style="10" customWidth="1"/>
    <col min="11" max="12" width="11.5" style="16" hidden="1" customWidth="1"/>
    <col min="13" max="13" width="6.6640625" style="8" customWidth="1"/>
    <col min="14" max="14" width="7.83203125" style="8" bestFit="1" customWidth="1"/>
    <col min="15" max="16" width="5.6640625" style="8" customWidth="1"/>
    <col min="17" max="16384" width="9.1640625" style="9"/>
  </cols>
  <sheetData>
    <row r="1" spans="1:16" s="7" customForma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5" t="s">
        <v>15</v>
      </c>
    </row>
    <row r="2" spans="1:16" x14ac:dyDescent="0.15">
      <c r="A2" s="7" t="s">
        <v>16</v>
      </c>
      <c r="B2" s="9" t="str">
        <f>VLOOKUP(D2,[1]TASMaps!$H$4:$K$269,3,FALSE)</f>
        <v>TQ07</v>
      </c>
      <c r="C2" s="9" t="str">
        <f>VLOOKUP(D2,[1]TASMaps!$H$4:$K$269,4,FALSE)</f>
        <v>Snowy Range</v>
      </c>
      <c r="D2" s="9">
        <v>4626</v>
      </c>
      <c r="E2" s="9" t="s">
        <v>17</v>
      </c>
      <c r="F2" s="9" t="s">
        <v>18</v>
      </c>
      <c r="G2" s="9" t="s">
        <v>19</v>
      </c>
      <c r="H2" s="8" t="s">
        <v>20</v>
      </c>
      <c r="I2" s="10">
        <v>471700</v>
      </c>
      <c r="J2" s="10">
        <v>5263490</v>
      </c>
      <c r="K2" s="11">
        <v>-42.780610000000003</v>
      </c>
      <c r="L2" s="11">
        <v>146.65402</v>
      </c>
      <c r="M2" s="8" t="s">
        <v>21</v>
      </c>
      <c r="O2" s="8">
        <v>1</v>
      </c>
      <c r="P2" s="8">
        <v>1</v>
      </c>
    </row>
    <row r="3" spans="1:16" x14ac:dyDescent="0.15">
      <c r="A3" s="9" t="s">
        <v>22</v>
      </c>
      <c r="B3" s="9" t="str">
        <f>VLOOKUP(D3,[1]TASMaps!$H$4:$K$269,3,FALSE)</f>
        <v>TP05</v>
      </c>
      <c r="C3" s="9" t="str">
        <f>VLOOKUP(D3,[1]TASMaps!$H$4:$K$269,4,FALSE)</f>
        <v>Princess Range</v>
      </c>
      <c r="D3" s="9">
        <v>4029</v>
      </c>
      <c r="E3" s="9" t="s">
        <v>12</v>
      </c>
      <c r="F3" s="9" t="s">
        <v>23</v>
      </c>
      <c r="G3" s="9" t="s">
        <v>24</v>
      </c>
      <c r="H3" s="8" t="s">
        <v>20</v>
      </c>
      <c r="I3" s="10">
        <v>404070</v>
      </c>
      <c r="J3" s="10">
        <v>5298500</v>
      </c>
      <c r="K3" s="11">
        <v>-42.459899999999998</v>
      </c>
      <c r="L3" s="11">
        <v>145.83323999999999</v>
      </c>
      <c r="P3" s="8">
        <v>1</v>
      </c>
    </row>
    <row r="4" spans="1:16" x14ac:dyDescent="0.15">
      <c r="A4" s="13" t="s">
        <v>25</v>
      </c>
      <c r="B4" s="9" t="str">
        <f>VLOOKUP(D4,[1]TASMaps!$H$4:$K$269,3,FALSE)</f>
        <v>TR07</v>
      </c>
      <c r="C4" s="9" t="str">
        <f>VLOOKUP(D4,[1]TASMaps!$H$4:$K$269,4,FALSE)</f>
        <v>Hartz</v>
      </c>
      <c r="D4" s="9">
        <v>4621</v>
      </c>
      <c r="E4" s="9" t="s">
        <v>26</v>
      </c>
      <c r="F4" s="9" t="s">
        <v>18</v>
      </c>
      <c r="G4" s="9" t="s">
        <v>27</v>
      </c>
      <c r="H4" s="8" t="s">
        <v>20</v>
      </c>
      <c r="I4" s="10">
        <v>466245</v>
      </c>
      <c r="J4" s="10">
        <v>5215445</v>
      </c>
      <c r="K4" s="11">
        <v>-43.21302</v>
      </c>
      <c r="L4" s="11">
        <v>146.58443</v>
      </c>
      <c r="P4" s="8">
        <v>1</v>
      </c>
    </row>
    <row r="5" spans="1:16" x14ac:dyDescent="0.15">
      <c r="A5" s="7" t="s">
        <v>28</v>
      </c>
      <c r="B5" s="9" t="str">
        <f>VLOOKUP(D5,[1]TASMaps!$H$4:$K$269,3,FALSE)</f>
        <v>TL05</v>
      </c>
      <c r="C5" s="9" t="str">
        <f>VLOOKUP(D5,[1]TASMaps!$H$4:$K$269,4,FALSE)</f>
        <v>Murchison</v>
      </c>
      <c r="D5" s="9">
        <v>4036</v>
      </c>
      <c r="E5" s="9" t="s">
        <v>29</v>
      </c>
      <c r="F5" s="9" t="s">
        <v>30</v>
      </c>
      <c r="G5" s="9" t="s">
        <v>24</v>
      </c>
      <c r="H5" s="8" t="s">
        <v>20</v>
      </c>
      <c r="I5" s="10">
        <v>415135</v>
      </c>
      <c r="J5" s="10">
        <v>5365355</v>
      </c>
      <c r="K5" s="11">
        <v>-41.859160000000003</v>
      </c>
      <c r="L5" s="11">
        <v>145.97754</v>
      </c>
      <c r="M5" s="8" t="s">
        <v>21</v>
      </c>
      <c r="N5" s="8">
        <v>3</v>
      </c>
      <c r="O5" s="8">
        <v>3</v>
      </c>
      <c r="P5" s="8">
        <v>4</v>
      </c>
    </row>
    <row r="6" spans="1:16" x14ac:dyDescent="0.15">
      <c r="A6" s="7" t="s">
        <v>31</v>
      </c>
      <c r="B6" s="9" t="str">
        <f>VLOOKUP(D6,[1]TASMaps!$H$4:$K$269,3,FALSE)</f>
        <v>TM06</v>
      </c>
      <c r="C6" s="9" t="str">
        <f>VLOOKUP(D6,[1]TASMaps!$H$4:$K$269,4,FALSE)</f>
        <v>St Clair</v>
      </c>
      <c r="D6" s="9">
        <v>4235</v>
      </c>
      <c r="E6" s="9" t="s">
        <v>32</v>
      </c>
      <c r="F6" s="9" t="s">
        <v>30</v>
      </c>
      <c r="G6" s="9" t="s">
        <v>33</v>
      </c>
      <c r="H6" s="8" t="s">
        <v>20</v>
      </c>
      <c r="I6" s="10">
        <v>422195</v>
      </c>
      <c r="J6" s="10">
        <v>5356995</v>
      </c>
      <c r="K6" s="11">
        <v>-41.935180000000003</v>
      </c>
      <c r="L6" s="11">
        <v>146.06147999999999</v>
      </c>
      <c r="M6" s="8" t="s">
        <v>21</v>
      </c>
      <c r="N6" s="8">
        <v>4</v>
      </c>
      <c r="O6" s="8">
        <v>4</v>
      </c>
      <c r="P6" s="8">
        <v>4</v>
      </c>
    </row>
    <row r="7" spans="1:16" x14ac:dyDescent="0.15">
      <c r="A7" s="14" t="s">
        <v>34</v>
      </c>
      <c r="B7" s="9" t="str">
        <f>VLOOKUP(D7,[1]TASMaps!$H$4:$K$269,3,FALSE)</f>
        <v>TL07</v>
      </c>
      <c r="C7" s="9" t="str">
        <f>VLOOKUP(D7,[1]TASMaps!$H$4:$K$269,4,FALSE)</f>
        <v>Breton</v>
      </c>
      <c r="D7" s="9">
        <v>4637</v>
      </c>
      <c r="E7" s="9" t="s">
        <v>35</v>
      </c>
      <c r="F7" s="9" t="s">
        <v>23</v>
      </c>
      <c r="G7" s="9" t="s">
        <v>36</v>
      </c>
      <c r="H7" s="8" t="s">
        <v>20</v>
      </c>
      <c r="I7" s="10">
        <v>474540</v>
      </c>
      <c r="J7" s="10">
        <v>5379230</v>
      </c>
      <c r="K7" s="11">
        <v>-41.738340000000001</v>
      </c>
      <c r="L7" s="11">
        <v>146.69382999999999</v>
      </c>
      <c r="N7" s="8" t="s">
        <v>37</v>
      </c>
      <c r="P7" s="8">
        <v>1</v>
      </c>
    </row>
    <row r="8" spans="1:16" x14ac:dyDescent="0.15">
      <c r="A8" s="15" t="s">
        <v>38</v>
      </c>
      <c r="B8" s="9" t="str">
        <f>VLOOKUP(D8,[1]TASMaps!$H$4:$K$269,3,FALSE)</f>
        <v>TS07</v>
      </c>
      <c r="C8" s="9" t="str">
        <f>VLOOKUP(D8,[1]TASMaps!$H$4:$K$269,4,FALSE)</f>
        <v>Adamsons</v>
      </c>
      <c r="D8" s="9">
        <v>4820</v>
      </c>
      <c r="E8" s="9" t="s">
        <v>39</v>
      </c>
      <c r="F8" s="9" t="s">
        <v>23</v>
      </c>
      <c r="G8" s="9" t="s">
        <v>27</v>
      </c>
      <c r="H8" s="8" t="s">
        <v>20</v>
      </c>
      <c r="I8" s="10">
        <v>485800</v>
      </c>
      <c r="J8" s="10">
        <v>5200280</v>
      </c>
      <c r="K8" s="11">
        <v>-43.350200000000001</v>
      </c>
      <c r="L8" s="11">
        <v>146.82479000000001</v>
      </c>
      <c r="M8" s="8" t="s">
        <v>21</v>
      </c>
      <c r="N8" s="8">
        <v>3</v>
      </c>
      <c r="O8" s="8">
        <v>3</v>
      </c>
      <c r="P8" s="8">
        <v>3</v>
      </c>
    </row>
    <row r="9" spans="1:16" x14ac:dyDescent="0.15">
      <c r="A9" s="7" t="s">
        <v>40</v>
      </c>
      <c r="B9" s="9" t="str">
        <f>VLOOKUP(D9,[1]TASMaps!$H$4:$K$269,3,FALSE)</f>
        <v>TL04</v>
      </c>
      <c r="C9" s="9" t="str">
        <f>VLOOKUP(D9,[1]TASMaps!$H$4:$K$269,4,FALSE)</f>
        <v>Lake Pieman</v>
      </c>
      <c r="D9" s="9">
        <v>3436</v>
      </c>
      <c r="E9" s="9" t="s">
        <v>41</v>
      </c>
      <c r="F9" s="9" t="s">
        <v>30</v>
      </c>
      <c r="G9" s="9" t="s">
        <v>24</v>
      </c>
      <c r="H9" s="8" t="s">
        <v>20</v>
      </c>
      <c r="I9" s="10">
        <v>352920</v>
      </c>
      <c r="J9" s="10">
        <v>5360520</v>
      </c>
      <c r="K9" s="11">
        <v>-41.893569999999997</v>
      </c>
      <c r="L9" s="11">
        <v>145.22703000000001</v>
      </c>
      <c r="N9" s="8" t="s">
        <v>37</v>
      </c>
      <c r="O9" s="8">
        <v>1</v>
      </c>
      <c r="P9" s="8">
        <v>1</v>
      </c>
    </row>
    <row r="10" spans="1:16" x14ac:dyDescent="0.15">
      <c r="A10" s="7" t="s">
        <v>42</v>
      </c>
      <c r="B10" s="9" t="str">
        <f>VLOOKUP(D10,[1]TASMaps!$H$4:$K$269,3,FALSE)</f>
        <v>TJ09</v>
      </c>
      <c r="C10" s="9" t="str">
        <f>VLOOKUP(D10,[1]TASMaps!$H$4:$K$269,4,FALSE)</f>
        <v>Legerwood</v>
      </c>
      <c r="D10" s="9">
        <v>5642</v>
      </c>
      <c r="E10" s="9" t="s">
        <v>43</v>
      </c>
      <c r="F10" s="9" t="s">
        <v>30</v>
      </c>
      <c r="G10" s="9" t="s">
        <v>44</v>
      </c>
      <c r="H10" s="8" t="s">
        <v>20</v>
      </c>
      <c r="I10" s="10">
        <v>572935</v>
      </c>
      <c r="J10" s="10">
        <v>5422145</v>
      </c>
      <c r="K10" s="11">
        <v>-41.348889999999997</v>
      </c>
      <c r="L10" s="11">
        <v>147.87182999999999</v>
      </c>
      <c r="M10" s="8" t="s">
        <v>21</v>
      </c>
      <c r="N10" s="8" t="s">
        <v>37</v>
      </c>
      <c r="O10" s="8">
        <v>1</v>
      </c>
      <c r="P10" s="8">
        <v>1</v>
      </c>
    </row>
    <row r="11" spans="1:16" x14ac:dyDescent="0.15">
      <c r="A11" s="7" t="s">
        <v>45</v>
      </c>
      <c r="B11" s="9" t="str">
        <f>VLOOKUP(D11,[1]TASMaps!$H$4:$K$269,3,FALSE)</f>
        <v>TR06</v>
      </c>
      <c r="C11" s="9" t="str">
        <f>VLOOKUP(D11,[1]TASMaps!$H$4:$K$269,4,FALSE)</f>
        <v>Western Arthur</v>
      </c>
      <c r="D11" s="9">
        <v>4421</v>
      </c>
      <c r="E11" s="9" t="s">
        <v>46</v>
      </c>
      <c r="F11" s="9" t="s">
        <v>30</v>
      </c>
      <c r="G11" s="9" t="s">
        <v>27</v>
      </c>
      <c r="H11" s="8" t="s">
        <v>20</v>
      </c>
      <c r="I11" s="10">
        <v>446630</v>
      </c>
      <c r="J11" s="10">
        <v>5219270</v>
      </c>
      <c r="K11" s="11">
        <v>-43.17745</v>
      </c>
      <c r="L11" s="11">
        <v>146.34333000000001</v>
      </c>
      <c r="M11" s="8" t="s">
        <v>21</v>
      </c>
      <c r="N11" s="8">
        <v>3</v>
      </c>
      <c r="O11" s="8">
        <v>3</v>
      </c>
      <c r="P11" s="8">
        <v>3</v>
      </c>
    </row>
    <row r="12" spans="1:16" x14ac:dyDescent="0.15">
      <c r="A12" s="7" t="s">
        <v>47</v>
      </c>
      <c r="B12" s="9" t="str">
        <f>VLOOKUP(D12,[1]TASMaps!$H$4:$K$269,3,FALSE)</f>
        <v>TS07</v>
      </c>
      <c r="C12" s="9" t="str">
        <f>VLOOKUP(D12,[1]TASMaps!$H$4:$K$269,4,FALSE)</f>
        <v>Adamsons</v>
      </c>
      <c r="D12" s="9">
        <v>4619</v>
      </c>
      <c r="E12" s="9" t="s">
        <v>48</v>
      </c>
      <c r="F12" s="9" t="s">
        <v>30</v>
      </c>
      <c r="G12" s="9" t="s">
        <v>27</v>
      </c>
      <c r="H12" s="8" t="s">
        <v>20</v>
      </c>
      <c r="I12" s="10">
        <v>479390</v>
      </c>
      <c r="J12" s="10">
        <v>5192440</v>
      </c>
      <c r="K12" s="11">
        <v>-43.420650000000002</v>
      </c>
      <c r="L12" s="11">
        <v>146.74539999999999</v>
      </c>
      <c r="N12" s="8" t="s">
        <v>37</v>
      </c>
      <c r="O12" s="8">
        <v>2</v>
      </c>
      <c r="P12" s="8">
        <v>2</v>
      </c>
    </row>
    <row r="13" spans="1:16" x14ac:dyDescent="0.15">
      <c r="A13" s="7" t="s">
        <v>49</v>
      </c>
      <c r="B13" s="9" t="str">
        <f>VLOOKUP(D13,[1]TASMaps!$H$4:$K$269,3,FALSE)</f>
        <v>TN06</v>
      </c>
      <c r="C13" s="9" t="str">
        <f>VLOOKUP(D13,[1]TASMaps!$H$4:$K$269,4,FALSE)</f>
        <v>King William</v>
      </c>
      <c r="D13" s="9">
        <v>4230</v>
      </c>
      <c r="E13" s="9" t="s">
        <v>50</v>
      </c>
      <c r="F13" s="9" t="s">
        <v>30</v>
      </c>
      <c r="G13" s="9" t="s">
        <v>24</v>
      </c>
      <c r="H13" s="8" t="s">
        <v>20</v>
      </c>
      <c r="I13" s="10">
        <v>422250</v>
      </c>
      <c r="J13" s="10">
        <v>5306220</v>
      </c>
      <c r="K13" s="11">
        <v>-42.392420000000001</v>
      </c>
      <c r="L13" s="11">
        <v>146.05537000000001</v>
      </c>
      <c r="N13" s="8" t="s">
        <v>37</v>
      </c>
      <c r="O13" s="8">
        <v>4</v>
      </c>
      <c r="P13" s="8">
        <v>4</v>
      </c>
    </row>
    <row r="14" spans="1:16" x14ac:dyDescent="0.15">
      <c r="A14" s="9" t="s">
        <v>51</v>
      </c>
      <c r="B14" s="9" t="str">
        <f>VLOOKUP(D14,[1]TASMaps!$H$4:$K$269,3,FALSE)</f>
        <v>TL10</v>
      </c>
      <c r="C14" s="9" t="str">
        <f>VLOOKUP(D14,[1]TASMaps!$H$4:$K$269,4,FALSE)</f>
        <v>Douglas River</v>
      </c>
      <c r="D14" s="9">
        <v>6037</v>
      </c>
      <c r="E14" s="9" t="s">
        <v>52</v>
      </c>
      <c r="F14" s="9" t="s">
        <v>30</v>
      </c>
      <c r="G14" s="9" t="s">
        <v>44</v>
      </c>
      <c r="H14" s="8" t="s">
        <v>20</v>
      </c>
      <c r="I14" s="10">
        <v>602200</v>
      </c>
      <c r="J14" s="10">
        <v>5372400</v>
      </c>
      <c r="K14" s="11">
        <v>-41.793669999999999</v>
      </c>
      <c r="L14" s="11">
        <v>148.23006000000001</v>
      </c>
      <c r="N14" s="8" t="s">
        <v>37</v>
      </c>
      <c r="P14" s="8">
        <v>1</v>
      </c>
    </row>
    <row r="15" spans="1:16" x14ac:dyDescent="0.15">
      <c r="A15" s="7" t="s">
        <v>53</v>
      </c>
      <c r="B15" s="9" t="str">
        <f>VLOOKUP(D15,[1]TASMaps!$H$4:$K$269,3,FALSE)</f>
        <v>TM08</v>
      </c>
      <c r="C15" s="9" t="str">
        <f>VLOOKUP(D15,[1]TASMaps!$H$4:$K$269,4,FALSE)</f>
        <v>Dogs Head Tier</v>
      </c>
      <c r="D15" s="9">
        <v>5033</v>
      </c>
      <c r="E15" s="9" t="s">
        <v>54</v>
      </c>
      <c r="F15" s="9" t="s">
        <v>30</v>
      </c>
      <c r="G15" s="9" t="s">
        <v>36</v>
      </c>
      <c r="H15" s="8" t="s">
        <v>20</v>
      </c>
      <c r="I15" s="10">
        <v>504570</v>
      </c>
      <c r="J15" s="10">
        <v>5337840</v>
      </c>
      <c r="K15" s="11">
        <v>-42.111519999999999</v>
      </c>
      <c r="L15" s="11">
        <v>147.05528000000001</v>
      </c>
      <c r="N15" s="8" t="s">
        <v>37</v>
      </c>
      <c r="P15" s="8">
        <v>1</v>
      </c>
    </row>
    <row r="16" spans="1:16" x14ac:dyDescent="0.15">
      <c r="A16" s="7" t="s">
        <v>55</v>
      </c>
      <c r="B16" s="9" t="str">
        <f>VLOOKUP(D16,[1]TASMaps!$H$4:$K$269,3,FALSE)</f>
        <v>TN05</v>
      </c>
      <c r="C16" s="9" t="str">
        <f>VLOOKUP(D16,[1]TASMaps!$H$4:$K$269,4,FALSE)</f>
        <v>Frenchmans</v>
      </c>
      <c r="D16" s="9">
        <v>4032</v>
      </c>
      <c r="E16" s="9" t="s">
        <v>56</v>
      </c>
      <c r="F16" s="9" t="s">
        <v>30</v>
      </c>
      <c r="G16" s="9" t="s">
        <v>24</v>
      </c>
      <c r="H16" s="8" t="s">
        <v>20</v>
      </c>
      <c r="I16" s="10">
        <v>414780</v>
      </c>
      <c r="J16" s="10">
        <v>5329840</v>
      </c>
      <c r="K16" s="11">
        <v>-42.178939999999997</v>
      </c>
      <c r="L16" s="11">
        <v>145.96809999999999</v>
      </c>
      <c r="N16" s="8" t="s">
        <v>37</v>
      </c>
      <c r="O16" s="8">
        <v>2</v>
      </c>
      <c r="P16" s="8">
        <v>2</v>
      </c>
    </row>
    <row r="17" spans="1:16" x14ac:dyDescent="0.15">
      <c r="A17" s="7" t="s">
        <v>57</v>
      </c>
      <c r="B17" s="9" t="str">
        <f>VLOOKUP(D17,[1]TASMaps!$H$4:$K$269,3,FALSE)</f>
        <v>TP08</v>
      </c>
      <c r="C17" s="9" t="str">
        <f>VLOOKUP(D17,[1]TASMaps!$H$4:$K$269,4,FALSE)</f>
        <v>Green Ponds</v>
      </c>
      <c r="D17" s="9">
        <v>5228</v>
      </c>
      <c r="E17" s="9" t="s">
        <v>58</v>
      </c>
      <c r="F17" s="9" t="s">
        <v>23</v>
      </c>
      <c r="G17" s="9" t="s">
        <v>59</v>
      </c>
      <c r="H17" s="8" t="s">
        <v>20</v>
      </c>
      <c r="I17" s="10">
        <v>525540</v>
      </c>
      <c r="J17" s="10">
        <v>5285740</v>
      </c>
      <c r="K17" s="11">
        <v>-42.580329999999996</v>
      </c>
      <c r="L17" s="11">
        <v>147.31122999999999</v>
      </c>
      <c r="N17" s="8" t="s">
        <v>37</v>
      </c>
      <c r="P17" s="8">
        <v>1</v>
      </c>
    </row>
    <row r="18" spans="1:16" x14ac:dyDescent="0.15">
      <c r="A18" s="7" t="s">
        <v>60</v>
      </c>
      <c r="B18" s="9" t="str">
        <f>VLOOKUP(D18,[1]TASMaps!$H$4:$K$269,3,FALSE)</f>
        <v>TM10</v>
      </c>
      <c r="C18" s="9" t="str">
        <f>VLOOKUP(D18,[1]TASMaps!$H$4:$K$269,4,FALSE)</f>
        <v>Moulting Lagoon</v>
      </c>
      <c r="D18" s="9">
        <v>6033</v>
      </c>
      <c r="E18" s="9" t="s">
        <v>61</v>
      </c>
      <c r="F18" s="9" t="s">
        <v>30</v>
      </c>
      <c r="G18" s="9" t="s">
        <v>62</v>
      </c>
      <c r="H18" s="8" t="s">
        <v>20</v>
      </c>
      <c r="I18" s="10">
        <v>607370</v>
      </c>
      <c r="J18" s="10">
        <v>5332340</v>
      </c>
      <c r="K18" s="11">
        <v>-42.153709999999997</v>
      </c>
      <c r="L18" s="11">
        <v>148.29957999999999</v>
      </c>
      <c r="N18" s="8" t="s">
        <v>37</v>
      </c>
      <c r="O18" s="8">
        <v>1</v>
      </c>
      <c r="P18" s="8">
        <v>1</v>
      </c>
    </row>
    <row r="19" spans="1:16" x14ac:dyDescent="0.15">
      <c r="A19" s="7" t="s">
        <v>63</v>
      </c>
      <c r="B19" s="9" t="str">
        <f>VLOOKUP(D19,[1]TASMaps!$H$4:$K$269,3,FALSE)</f>
        <v>TR07</v>
      </c>
      <c r="C19" s="9" t="str">
        <f>VLOOKUP(D19,[1]TASMaps!$H$4:$K$269,4,FALSE)</f>
        <v>Hartz</v>
      </c>
      <c r="D19" s="9">
        <v>4621</v>
      </c>
      <c r="E19" s="9" t="s">
        <v>26</v>
      </c>
      <c r="F19" s="9" t="s">
        <v>30</v>
      </c>
      <c r="G19" s="9" t="s">
        <v>27</v>
      </c>
      <c r="H19" s="8" t="s">
        <v>20</v>
      </c>
      <c r="I19" s="10">
        <v>465835</v>
      </c>
      <c r="J19" s="10">
        <v>5214625</v>
      </c>
      <c r="K19" s="11">
        <v>-43.220390000000002</v>
      </c>
      <c r="L19" s="11">
        <v>146.57933</v>
      </c>
      <c r="N19" s="8" t="s">
        <v>37</v>
      </c>
      <c r="P19" s="8">
        <v>2</v>
      </c>
    </row>
    <row r="20" spans="1:16" x14ac:dyDescent="0.15">
      <c r="A20" s="9" t="s">
        <v>64</v>
      </c>
      <c r="B20" s="9" t="str">
        <f>VLOOKUP(D20,[1]TASMaps!$H$4:$K$269,3,FALSE)</f>
        <v>TL10</v>
      </c>
      <c r="C20" s="9" t="str">
        <f>VLOOKUP(D20,[1]TASMaps!$H$4:$K$269,4,FALSE)</f>
        <v>Douglas River</v>
      </c>
      <c r="D20" s="9">
        <v>5836</v>
      </c>
      <c r="E20" s="9" t="s">
        <v>65</v>
      </c>
      <c r="F20" s="9" t="s">
        <v>30</v>
      </c>
      <c r="G20" s="9" t="s">
        <v>44</v>
      </c>
      <c r="H20" s="8" t="s">
        <v>20</v>
      </c>
      <c r="I20" s="10">
        <v>599560</v>
      </c>
      <c r="J20" s="10">
        <v>5367800</v>
      </c>
      <c r="K20" s="11">
        <v>-41.835430000000002</v>
      </c>
      <c r="L20" s="11">
        <v>148.19907000000001</v>
      </c>
      <c r="N20" s="8" t="s">
        <v>37</v>
      </c>
      <c r="P20" s="8">
        <v>1</v>
      </c>
    </row>
    <row r="21" spans="1:16" x14ac:dyDescent="0.15">
      <c r="A21" s="9" t="s">
        <v>66</v>
      </c>
      <c r="B21" s="9" t="str">
        <f>VLOOKUP(D21,[1]TASMaps!$H$4:$K$269,3,FALSE)</f>
        <v>TN08</v>
      </c>
      <c r="C21" s="9" t="str">
        <f>VLOOKUP(D21,[1]TASMaps!$H$4:$K$269,4,FALSE)</f>
        <v>Tiberias</v>
      </c>
      <c r="D21" s="9">
        <v>5230</v>
      </c>
      <c r="E21" s="9" t="s">
        <v>67</v>
      </c>
      <c r="F21" s="9" t="s">
        <v>30</v>
      </c>
      <c r="G21" s="9" t="s">
        <v>59</v>
      </c>
      <c r="H21" s="8" t="s">
        <v>20</v>
      </c>
      <c r="I21" s="10">
        <v>528570</v>
      </c>
      <c r="J21" s="10">
        <v>5304920</v>
      </c>
      <c r="K21" s="11">
        <v>-42.407499999999999</v>
      </c>
      <c r="L21" s="11">
        <v>147.34719999999999</v>
      </c>
      <c r="N21" s="8" t="s">
        <v>37</v>
      </c>
      <c r="P21" s="8">
        <v>1</v>
      </c>
    </row>
    <row r="22" spans="1:16" x14ac:dyDescent="0.15">
      <c r="A22" s="7" t="s">
        <v>68</v>
      </c>
      <c r="B22" s="9" t="str">
        <f>VLOOKUP(D22,[1]TASMaps!$H$4:$K$269,3,FALSE)</f>
        <v>TQ06</v>
      </c>
      <c r="C22" s="9" t="str">
        <f>VLOOKUP(D22,[1]TASMaps!$H$4:$K$269,4,FALSE)</f>
        <v>Lake Pedder</v>
      </c>
      <c r="D22" s="9">
        <v>4424</v>
      </c>
      <c r="E22" s="9" t="s">
        <v>69</v>
      </c>
      <c r="F22" s="9" t="s">
        <v>30</v>
      </c>
      <c r="G22" s="9" t="s">
        <v>19</v>
      </c>
      <c r="H22" s="8" t="s">
        <v>20</v>
      </c>
      <c r="I22" s="10">
        <v>453010</v>
      </c>
      <c r="J22" s="10">
        <v>5245375</v>
      </c>
      <c r="K22" s="11">
        <v>-42.942810000000001</v>
      </c>
      <c r="L22" s="11">
        <v>146.42402999999999</v>
      </c>
      <c r="M22" s="8" t="s">
        <v>21</v>
      </c>
      <c r="N22" s="8">
        <v>6</v>
      </c>
      <c r="O22" s="8">
        <v>6</v>
      </c>
      <c r="P22" s="8">
        <v>6</v>
      </c>
    </row>
    <row r="23" spans="1:16" x14ac:dyDescent="0.15">
      <c r="A23" s="7" t="s">
        <v>70</v>
      </c>
      <c r="B23" s="9" t="str">
        <f>VLOOKUP(D23,[1]TASMaps!$H$4:$K$269,3,FALSE)</f>
        <v>TN08</v>
      </c>
      <c r="C23" s="9" t="str">
        <f>VLOOKUP(D23,[1]TASMaps!$H$4:$K$269,4,FALSE)</f>
        <v>Tiberias</v>
      </c>
      <c r="D23" s="9">
        <v>5231</v>
      </c>
      <c r="E23" s="9" t="s">
        <v>71</v>
      </c>
      <c r="F23" s="9" t="s">
        <v>30</v>
      </c>
      <c r="G23" s="9" t="s">
        <v>59</v>
      </c>
      <c r="H23" s="8" t="s">
        <v>20</v>
      </c>
      <c r="I23" s="10">
        <v>524950</v>
      </c>
      <c r="J23" s="10">
        <v>5313750</v>
      </c>
      <c r="K23" s="11">
        <v>-42.328099999999999</v>
      </c>
      <c r="L23" s="11">
        <v>147.30282</v>
      </c>
      <c r="N23" s="8" t="s">
        <v>37</v>
      </c>
      <c r="P23" s="8">
        <v>1</v>
      </c>
    </row>
    <row r="24" spans="1:16" x14ac:dyDescent="0.15">
      <c r="A24" s="9" t="s">
        <v>72</v>
      </c>
      <c r="B24" s="9" t="str">
        <f>VLOOKUP(D24,[1]TASMaps!$H$4:$K$269,3,FALSE)</f>
        <v>TL07</v>
      </c>
      <c r="C24" s="9" t="str">
        <f>VLOOKUP(D24,[1]TASMaps!$H$4:$K$269,4,FALSE)</f>
        <v>Breton</v>
      </c>
      <c r="D24" s="9">
        <v>4638</v>
      </c>
      <c r="E24" s="9" t="s">
        <v>73</v>
      </c>
      <c r="F24" s="9" t="s">
        <v>18</v>
      </c>
      <c r="G24" s="9" t="s">
        <v>33</v>
      </c>
      <c r="H24" s="8" t="s">
        <v>20</v>
      </c>
      <c r="I24" s="10">
        <v>467930</v>
      </c>
      <c r="J24" s="10">
        <v>5386160</v>
      </c>
      <c r="K24" s="11">
        <v>-41.67568</v>
      </c>
      <c r="L24" s="11">
        <v>146.61471</v>
      </c>
      <c r="N24" s="8" t="s">
        <v>37</v>
      </c>
      <c r="P24" s="8">
        <v>1</v>
      </c>
    </row>
    <row r="25" spans="1:16" x14ac:dyDescent="0.15">
      <c r="A25" s="7" t="s">
        <v>74</v>
      </c>
      <c r="B25" s="9" t="str">
        <f>VLOOKUP(D25,[1]TASMaps!$H$4:$K$269,3,FALSE)</f>
        <v>TL05</v>
      </c>
      <c r="C25" s="9" t="str">
        <f>VLOOKUP(D25,[1]TASMaps!$H$4:$K$269,4,FALSE)</f>
        <v>Murchison</v>
      </c>
      <c r="D25" s="9">
        <v>3836</v>
      </c>
      <c r="E25" s="9" t="s">
        <v>75</v>
      </c>
      <c r="F25" s="9" t="s">
        <v>23</v>
      </c>
      <c r="G25" s="9" t="s">
        <v>24</v>
      </c>
      <c r="H25" s="8" t="s">
        <v>20</v>
      </c>
      <c r="I25" s="10">
        <v>384880</v>
      </c>
      <c r="J25" s="10">
        <v>5364830</v>
      </c>
      <c r="K25" s="11">
        <v>-41.86007</v>
      </c>
      <c r="L25" s="11">
        <v>145.61301</v>
      </c>
      <c r="N25" s="8" t="s">
        <v>37</v>
      </c>
      <c r="P25" s="8">
        <v>1</v>
      </c>
    </row>
    <row r="26" spans="1:16" x14ac:dyDescent="0.15">
      <c r="A26" s="7" t="s">
        <v>76</v>
      </c>
      <c r="B26" s="9" t="str">
        <f>VLOOKUP(D26,[1]TASMaps!$H$4:$K$269,3,FALSE)</f>
        <v>TK08</v>
      </c>
      <c r="C26" s="9" t="str">
        <f>VLOOKUP(D26,[1]TASMaps!$H$4:$K$269,4,FALSE)</f>
        <v>Perth</v>
      </c>
      <c r="D26" s="9">
        <v>5040</v>
      </c>
      <c r="E26" s="9" t="s">
        <v>77</v>
      </c>
      <c r="F26" s="9" t="s">
        <v>30</v>
      </c>
      <c r="G26" s="9" t="s">
        <v>78</v>
      </c>
      <c r="H26" s="8" t="s">
        <v>20</v>
      </c>
      <c r="I26" s="10">
        <v>509270</v>
      </c>
      <c r="J26" s="10">
        <v>5403610</v>
      </c>
      <c r="K26" s="11">
        <v>-41.519089999999998</v>
      </c>
      <c r="L26" s="11">
        <v>147.11109999999999</v>
      </c>
      <c r="N26" s="8" t="s">
        <v>37</v>
      </c>
      <c r="P26" s="8">
        <v>1</v>
      </c>
    </row>
    <row r="27" spans="1:16" x14ac:dyDescent="0.15">
      <c r="A27" s="7" t="s">
        <v>79</v>
      </c>
      <c r="B27" s="9" t="str">
        <f>VLOOKUP(D27,[1]TASMaps!$H$4:$K$269,3,FALSE)</f>
        <v>TN06</v>
      </c>
      <c r="C27" s="9" t="str">
        <f>VLOOKUP(D27,[1]TASMaps!$H$4:$K$269,4,FALSE)</f>
        <v>King William</v>
      </c>
      <c r="D27" s="9">
        <v>4232</v>
      </c>
      <c r="E27" s="9" t="s">
        <v>80</v>
      </c>
      <c r="F27" s="9" t="s">
        <v>30</v>
      </c>
      <c r="G27" s="9" t="s">
        <v>24</v>
      </c>
      <c r="H27" s="8" t="s">
        <v>20</v>
      </c>
      <c r="I27" s="10">
        <v>423680</v>
      </c>
      <c r="J27" s="10">
        <v>5326430</v>
      </c>
      <c r="K27" s="11">
        <v>-42.210569999999997</v>
      </c>
      <c r="L27" s="11">
        <v>146.07541000000001</v>
      </c>
      <c r="N27" s="8" t="s">
        <v>37</v>
      </c>
      <c r="O27" s="8">
        <v>1</v>
      </c>
      <c r="P27" s="8">
        <v>1</v>
      </c>
    </row>
    <row r="28" spans="1:16" x14ac:dyDescent="0.15">
      <c r="A28" s="9" t="s">
        <v>81</v>
      </c>
      <c r="B28" s="9" t="str">
        <f>VLOOKUP(D28,[1]TASMaps!$H$4:$K$269,3,FALSE)</f>
        <v>TR09</v>
      </c>
      <c r="C28" s="9" t="str">
        <f>VLOOKUP(D28,[1]TASMaps!$H$4:$K$269,4,FALSE)</f>
        <v>Tasman Peninsula</v>
      </c>
      <c r="D28" s="9">
        <v>5522</v>
      </c>
      <c r="E28" s="9" t="s">
        <v>82</v>
      </c>
      <c r="F28" s="9" t="s">
        <v>30</v>
      </c>
      <c r="G28" s="9" t="s">
        <v>83</v>
      </c>
      <c r="H28" s="8" t="s">
        <v>20</v>
      </c>
      <c r="I28" s="10">
        <v>566300</v>
      </c>
      <c r="J28" s="10">
        <v>5221830</v>
      </c>
      <c r="K28" s="11">
        <v>-43.153379999999999</v>
      </c>
      <c r="L28" s="11">
        <v>147.81544</v>
      </c>
      <c r="N28" s="8" t="s">
        <v>37</v>
      </c>
      <c r="P28" s="8">
        <v>1</v>
      </c>
    </row>
    <row r="29" spans="1:16" x14ac:dyDescent="0.15">
      <c r="A29" s="7" t="s">
        <v>81</v>
      </c>
      <c r="B29" s="9" t="str">
        <f>VLOOKUP(D29,[1]TASMaps!$H$4:$K$269,3,FALSE)</f>
        <v>TQ08</v>
      </c>
      <c r="C29" s="9" t="str">
        <f>VLOOKUP(D29,[1]TASMaps!$H$4:$K$269,4,FALSE)</f>
        <v>Wellington</v>
      </c>
      <c r="D29" s="9">
        <v>5025</v>
      </c>
      <c r="E29" s="9" t="s">
        <v>84</v>
      </c>
      <c r="F29" s="9" t="s">
        <v>30</v>
      </c>
      <c r="G29" s="9" t="s">
        <v>85</v>
      </c>
      <c r="H29" s="8" t="s">
        <v>20</v>
      </c>
      <c r="I29" s="10">
        <v>517880</v>
      </c>
      <c r="J29" s="10">
        <v>5252030</v>
      </c>
      <c r="K29" s="11">
        <v>-42.884120000000003</v>
      </c>
      <c r="L29" s="11">
        <v>147.21895000000001</v>
      </c>
      <c r="N29" s="8" t="s">
        <v>37</v>
      </c>
      <c r="P29" s="8">
        <v>1</v>
      </c>
    </row>
    <row r="30" spans="1:16" x14ac:dyDescent="0.15">
      <c r="A30" s="7" t="s">
        <v>81</v>
      </c>
      <c r="B30" s="9" t="str">
        <f>VLOOKUP(D30,[1]TASMaps!$H$4:$K$269,3,FALSE)</f>
        <v>TJ08</v>
      </c>
      <c r="C30" s="9" t="str">
        <f>VLOOKUP(D30,[1]TASMaps!$H$4:$K$269,4,FALSE)</f>
        <v>Sideling</v>
      </c>
      <c r="D30" s="9">
        <v>5243</v>
      </c>
      <c r="E30" s="9" t="s">
        <v>86</v>
      </c>
      <c r="F30" s="9" t="s">
        <v>30</v>
      </c>
      <c r="G30" s="9" t="s">
        <v>87</v>
      </c>
      <c r="H30" s="8" t="s">
        <v>20</v>
      </c>
      <c r="I30" s="10">
        <v>524260</v>
      </c>
      <c r="J30" s="10">
        <v>5430390</v>
      </c>
      <c r="K30" s="11">
        <v>-41.277560000000001</v>
      </c>
      <c r="L30" s="11">
        <v>147.28968</v>
      </c>
      <c r="M30" s="8" t="s">
        <v>21</v>
      </c>
      <c r="N30" s="8" t="s">
        <v>37</v>
      </c>
      <c r="O30" s="8">
        <v>2</v>
      </c>
      <c r="P30" s="8">
        <v>2</v>
      </c>
    </row>
    <row r="31" spans="1:16" x14ac:dyDescent="0.15">
      <c r="A31" s="7" t="s">
        <v>88</v>
      </c>
      <c r="B31" s="9" t="str">
        <f>VLOOKUP(D31,[1]TASMaps!$H$4:$K$269,3,FALSE)</f>
        <v>TR09</v>
      </c>
      <c r="C31" s="9" t="str">
        <f>VLOOKUP(D31,[1]TASMaps!$H$4:$K$269,4,FALSE)</f>
        <v>Tasman Peninsula</v>
      </c>
      <c r="D31" s="9">
        <v>5721</v>
      </c>
      <c r="E31" s="9" t="s">
        <v>83</v>
      </c>
      <c r="F31" s="9" t="s">
        <v>23</v>
      </c>
      <c r="G31" s="9" t="s">
        <v>83</v>
      </c>
      <c r="H31" s="8" t="s">
        <v>20</v>
      </c>
      <c r="I31" s="10">
        <v>573530</v>
      </c>
      <c r="J31" s="10">
        <v>5218150</v>
      </c>
      <c r="K31" s="11">
        <v>-43.185839999999999</v>
      </c>
      <c r="L31" s="11">
        <v>147.90485000000001</v>
      </c>
      <c r="N31" s="8" t="s">
        <v>37</v>
      </c>
      <c r="P31" s="8">
        <v>1</v>
      </c>
    </row>
    <row r="32" spans="1:16" x14ac:dyDescent="0.15">
      <c r="A32" s="7" t="s">
        <v>89</v>
      </c>
      <c r="B32" s="9" t="str">
        <f>VLOOKUP(D32,[1]TASMaps!$H$4:$K$269,3,FALSE)</f>
        <v>TL05</v>
      </c>
      <c r="C32" s="9" t="str">
        <f>VLOOKUP(D32,[1]TASMaps!$H$4:$K$269,4,FALSE)</f>
        <v>Murchison</v>
      </c>
      <c r="D32" s="9">
        <v>4038</v>
      </c>
      <c r="E32" s="9" t="s">
        <v>90</v>
      </c>
      <c r="F32" s="9" t="s">
        <v>18</v>
      </c>
      <c r="G32" s="9" t="s">
        <v>24</v>
      </c>
      <c r="H32" s="8" t="s">
        <v>20</v>
      </c>
      <c r="I32" s="10">
        <v>414950</v>
      </c>
      <c r="J32" s="10">
        <v>5386210</v>
      </c>
      <c r="K32" s="11">
        <v>-41.671329999999998</v>
      </c>
      <c r="L32" s="11">
        <v>145.97828999999999</v>
      </c>
      <c r="N32" s="8" t="s">
        <v>37</v>
      </c>
      <c r="P32" s="8">
        <v>1</v>
      </c>
    </row>
    <row r="33" spans="1:16" x14ac:dyDescent="0.15">
      <c r="A33" s="7" t="s">
        <v>91</v>
      </c>
      <c r="B33" s="9" t="str">
        <f>VLOOKUP(D33,[1]TASMaps!$H$4:$K$269,3,FALSE)</f>
        <v>TJ07</v>
      </c>
      <c r="C33" s="9" t="str">
        <f>VLOOKUP(D33,[1]TASMaps!$H$4:$K$269,4,FALSE)</f>
        <v>Dazzler</v>
      </c>
      <c r="D33" s="9">
        <v>4644</v>
      </c>
      <c r="E33" s="9" t="s">
        <v>92</v>
      </c>
      <c r="F33" s="9" t="s">
        <v>30</v>
      </c>
      <c r="G33" s="9" t="s">
        <v>93</v>
      </c>
      <c r="H33" s="8" t="s">
        <v>20</v>
      </c>
      <c r="I33" s="10">
        <v>474450</v>
      </c>
      <c r="J33" s="10">
        <v>5446440</v>
      </c>
      <c r="K33" s="11">
        <v>-41.132939999999998</v>
      </c>
      <c r="L33" s="11">
        <v>146.69559000000001</v>
      </c>
      <c r="N33" s="8" t="s">
        <v>37</v>
      </c>
      <c r="P33" s="8">
        <v>1</v>
      </c>
    </row>
    <row r="34" spans="1:16" x14ac:dyDescent="0.15">
      <c r="A34" s="14" t="s">
        <v>94</v>
      </c>
      <c r="B34" s="9" t="str">
        <f>VLOOKUP(D34,[1]TASMaps!$H$4:$K$269,3,FALSE)</f>
        <v>TK09</v>
      </c>
      <c r="C34" s="9" t="str">
        <f>VLOOKUP(D34,[1]TASMaps!$H$4:$K$269,4,FALSE)</f>
        <v>Ben Lomond</v>
      </c>
      <c r="D34" s="9">
        <v>5439</v>
      </c>
      <c r="E34" s="9" t="s">
        <v>95</v>
      </c>
      <c r="F34" s="9" t="s">
        <v>30</v>
      </c>
      <c r="G34" s="9" t="s">
        <v>78</v>
      </c>
      <c r="H34" s="8" t="s">
        <v>20</v>
      </c>
      <c r="I34" s="10">
        <v>555910</v>
      </c>
      <c r="J34" s="10">
        <v>5392910</v>
      </c>
      <c r="K34" s="11">
        <v>-41.613570000000003</v>
      </c>
      <c r="L34" s="11">
        <v>147.67105000000001</v>
      </c>
      <c r="N34" s="8" t="s">
        <v>37</v>
      </c>
      <c r="P34" s="8">
        <v>1</v>
      </c>
    </row>
    <row r="35" spans="1:16" x14ac:dyDescent="0.15">
      <c r="A35" s="9" t="s">
        <v>96</v>
      </c>
      <c r="B35" s="9" t="str">
        <f>VLOOKUP(D35,[1]TASMaps!$H$4:$K$269,3,FALSE)</f>
        <v>TM09</v>
      </c>
      <c r="C35" s="9" t="str">
        <f>VLOOKUP(D35,[1]TASMaps!$H$4:$K$269,4,FALSE)</f>
        <v>Lake Leake</v>
      </c>
      <c r="D35" s="9">
        <v>5435</v>
      </c>
      <c r="E35" s="9" t="s">
        <v>97</v>
      </c>
      <c r="F35" s="9" t="s">
        <v>30</v>
      </c>
      <c r="G35" s="9" t="s">
        <v>78</v>
      </c>
      <c r="H35" s="8" t="s">
        <v>20</v>
      </c>
      <c r="I35" s="10">
        <v>541130</v>
      </c>
      <c r="J35" s="10">
        <v>5351920</v>
      </c>
      <c r="K35" s="11">
        <v>-41.983649999999997</v>
      </c>
      <c r="L35" s="11">
        <v>147.49651</v>
      </c>
      <c r="N35" s="8" t="s">
        <v>37</v>
      </c>
      <c r="P35" s="8">
        <v>1</v>
      </c>
    </row>
    <row r="36" spans="1:16" x14ac:dyDescent="0.15">
      <c r="A36" s="7" t="s">
        <v>98</v>
      </c>
      <c r="B36" s="9" t="str">
        <f>VLOOKUP(D36,[1]TASMaps!$H$4:$K$269,3,FALSE)</f>
        <v>TK05</v>
      </c>
      <c r="C36" s="9" t="str">
        <f>VLOOKUP(D36,[1]TASMaps!$H$4:$K$269,4,FALSE)</f>
        <v>Black Bluff</v>
      </c>
      <c r="D36" s="9">
        <v>4039</v>
      </c>
      <c r="E36" s="9" t="s">
        <v>99</v>
      </c>
      <c r="F36" s="9" t="s">
        <v>23</v>
      </c>
      <c r="G36" s="9" t="s">
        <v>24</v>
      </c>
      <c r="H36" s="8" t="s">
        <v>20</v>
      </c>
      <c r="I36" s="10">
        <v>405020</v>
      </c>
      <c r="J36" s="10">
        <v>5391740</v>
      </c>
      <c r="K36" s="11">
        <v>-41.62041</v>
      </c>
      <c r="L36" s="11">
        <v>145.85990000000001</v>
      </c>
      <c r="N36" s="8" t="s">
        <v>37</v>
      </c>
      <c r="O36" s="8">
        <v>1</v>
      </c>
      <c r="P36" s="8">
        <v>1</v>
      </c>
    </row>
    <row r="37" spans="1:16" x14ac:dyDescent="0.15">
      <c r="A37" s="7" t="s">
        <v>100</v>
      </c>
      <c r="B37" s="9" t="str">
        <f>VLOOKUP(D37,[1]TASMaps!$H$4:$K$269,3,FALSE)</f>
        <v>TP08</v>
      </c>
      <c r="C37" s="9" t="str">
        <f>VLOOKUP(D37,[1]TASMaps!$H$4:$K$269,4,FALSE)</f>
        <v>Green Ponds</v>
      </c>
      <c r="D37" s="9">
        <v>5228</v>
      </c>
      <c r="E37" s="9" t="s">
        <v>58</v>
      </c>
      <c r="F37" s="9" t="s">
        <v>18</v>
      </c>
      <c r="G37" s="9" t="s">
        <v>59</v>
      </c>
      <c r="H37" s="8" t="s">
        <v>20</v>
      </c>
      <c r="I37" s="10">
        <v>524330</v>
      </c>
      <c r="J37" s="10">
        <v>5287730</v>
      </c>
      <c r="K37" s="11">
        <v>-42.562449999999998</v>
      </c>
      <c r="L37" s="11">
        <v>147.29640000000001</v>
      </c>
      <c r="N37" s="8" t="s">
        <v>37</v>
      </c>
      <c r="P37" s="8">
        <v>1</v>
      </c>
    </row>
    <row r="38" spans="1:16" x14ac:dyDescent="0.15">
      <c r="A38" s="9" t="s">
        <v>101</v>
      </c>
      <c r="B38" s="9" t="str">
        <f>VLOOKUP(D38,[1]TASMaps!$H$4:$K$269,3,FALSE)</f>
        <v>TP08</v>
      </c>
      <c r="C38" s="9" t="str">
        <f>VLOOKUP(D38,[1]TASMaps!$H$4:$K$269,4,FALSE)</f>
        <v>Green Ponds</v>
      </c>
      <c r="D38" s="9">
        <v>5228</v>
      </c>
      <c r="E38" s="9" t="s">
        <v>58</v>
      </c>
      <c r="F38" s="9" t="s">
        <v>30</v>
      </c>
      <c r="G38" s="9" t="s">
        <v>59</v>
      </c>
      <c r="H38" s="8" t="s">
        <v>20</v>
      </c>
      <c r="I38" s="10">
        <v>534070</v>
      </c>
      <c r="J38" s="10">
        <v>5288640</v>
      </c>
      <c r="K38" s="11">
        <v>-42.553890000000003</v>
      </c>
      <c r="L38" s="11">
        <v>147.41499999999999</v>
      </c>
      <c r="N38" s="8" t="s">
        <v>37</v>
      </c>
      <c r="P38" s="8">
        <v>1</v>
      </c>
    </row>
    <row r="39" spans="1:16" x14ac:dyDescent="0.15">
      <c r="A39" s="7" t="s">
        <v>102</v>
      </c>
      <c r="B39" s="9" t="str">
        <f>VLOOKUP(D39,[1]TASMaps!$H$4:$K$269,3,FALSE)</f>
        <v>TM07</v>
      </c>
      <c r="C39" s="9" t="str">
        <f>VLOOKUP(D39,[1]TASMaps!$H$4:$K$269,4,FALSE)</f>
        <v>Penstock</v>
      </c>
      <c r="D39" s="9">
        <v>4833</v>
      </c>
      <c r="E39" s="9" t="s">
        <v>103</v>
      </c>
      <c r="F39" s="9" t="s">
        <v>104</v>
      </c>
      <c r="G39" s="9" t="s">
        <v>36</v>
      </c>
      <c r="H39" s="8" t="s">
        <v>20</v>
      </c>
      <c r="I39" s="10">
        <v>487530</v>
      </c>
      <c r="J39" s="10">
        <v>5336080</v>
      </c>
      <c r="K39" s="11">
        <v>-42.127290000000002</v>
      </c>
      <c r="L39" s="11">
        <v>146.84913</v>
      </c>
      <c r="N39" s="8" t="s">
        <v>37</v>
      </c>
      <c r="P39" s="8">
        <v>1</v>
      </c>
    </row>
    <row r="40" spans="1:16" x14ac:dyDescent="0.15">
      <c r="A40" s="7" t="s">
        <v>105</v>
      </c>
      <c r="B40" s="9" t="str">
        <f>VLOOKUP(D40,[1]TASMaps!$H$4:$K$269,3,FALSE)</f>
        <v>TJ03</v>
      </c>
      <c r="C40" s="9" t="str">
        <f>VLOOKUP(D40,[1]TASMaps!$H$4:$K$269,4,FALSE)</f>
        <v>Rebecca</v>
      </c>
      <c r="D40" s="9">
        <v>3242</v>
      </c>
      <c r="E40" s="9" t="s">
        <v>106</v>
      </c>
      <c r="F40" s="9" t="s">
        <v>30</v>
      </c>
      <c r="G40" s="9" t="s">
        <v>107</v>
      </c>
      <c r="H40" s="8" t="s">
        <v>20</v>
      </c>
      <c r="I40" s="10">
        <v>322630</v>
      </c>
      <c r="J40" s="10">
        <v>5427230</v>
      </c>
      <c r="K40" s="11">
        <v>-41.286879999999996</v>
      </c>
      <c r="L40" s="11">
        <v>144.88184999999999</v>
      </c>
      <c r="N40" s="8" t="s">
        <v>37</v>
      </c>
      <c r="P40" s="8">
        <v>1</v>
      </c>
    </row>
    <row r="41" spans="1:16" x14ac:dyDescent="0.15">
      <c r="A41" s="9" t="s">
        <v>108</v>
      </c>
      <c r="B41" s="9" t="str">
        <f>VLOOKUP(D41,[1]TASMaps!$H$4:$K$269,3,FALSE)</f>
        <v>TS08</v>
      </c>
      <c r="C41" s="9" t="str">
        <f>VLOOKUP(D41,[1]TASMaps!$H$4:$K$269,4,FALSE)</f>
        <v>South Bruny</v>
      </c>
      <c r="D41" s="9">
        <v>5219</v>
      </c>
      <c r="E41" s="9" t="s">
        <v>109</v>
      </c>
      <c r="F41" s="9" t="s">
        <v>30</v>
      </c>
      <c r="G41" s="9" t="s">
        <v>110</v>
      </c>
      <c r="H41" s="8" t="s">
        <v>20</v>
      </c>
      <c r="I41" s="10">
        <v>524940</v>
      </c>
      <c r="J41" s="10">
        <v>5190660</v>
      </c>
      <c r="K41" s="11">
        <v>-43.436540000000001</v>
      </c>
      <c r="L41" s="11">
        <v>147.30816999999999</v>
      </c>
      <c r="N41" s="8" t="s">
        <v>37</v>
      </c>
      <c r="P41" s="8">
        <v>1</v>
      </c>
    </row>
    <row r="42" spans="1:16" x14ac:dyDescent="0.15">
      <c r="A42" s="14" t="s">
        <v>111</v>
      </c>
      <c r="B42" s="9" t="str">
        <f>VLOOKUP(D42,[1]TASMaps!$H$4:$K$269,3,FALSE)</f>
        <v>TK05</v>
      </c>
      <c r="C42" s="9" t="str">
        <f>VLOOKUP(D42,[1]TASMaps!$H$4:$K$269,4,FALSE)</f>
        <v>Black Bluff</v>
      </c>
      <c r="D42" s="9">
        <v>4040</v>
      </c>
      <c r="E42" s="9" t="s">
        <v>112</v>
      </c>
      <c r="F42" s="9" t="s">
        <v>30</v>
      </c>
      <c r="G42" s="9" t="s">
        <v>113</v>
      </c>
      <c r="H42" s="8" t="s">
        <v>20</v>
      </c>
      <c r="I42" s="10">
        <v>408700</v>
      </c>
      <c r="J42" s="10">
        <v>5405480</v>
      </c>
      <c r="K42" s="11">
        <v>-41.497100000000003</v>
      </c>
      <c r="L42" s="11">
        <v>145.90616</v>
      </c>
      <c r="N42" s="8" t="s">
        <v>37</v>
      </c>
      <c r="P42" s="8">
        <v>1</v>
      </c>
    </row>
    <row r="43" spans="1:16" x14ac:dyDescent="0.15">
      <c r="A43" s="9" t="s">
        <v>114</v>
      </c>
      <c r="B43" s="9" t="str">
        <f>VLOOKUP(D43,[1]TASMaps!$H$4:$K$269,3,FALSE)</f>
        <v>TJ04</v>
      </c>
      <c r="C43" s="9" t="str">
        <f>VLOOKUP(D43,[1]TASMaps!$H$4:$K$269,4,FALSE)</f>
        <v>Rapid River</v>
      </c>
      <c r="D43" s="9">
        <v>3642</v>
      </c>
      <c r="E43" s="9" t="s">
        <v>115</v>
      </c>
      <c r="F43" s="9" t="s">
        <v>116</v>
      </c>
      <c r="G43" s="9" t="s">
        <v>117</v>
      </c>
      <c r="H43" s="8" t="s">
        <v>20</v>
      </c>
      <c r="I43" s="10">
        <v>369790</v>
      </c>
      <c r="J43" s="10">
        <v>5426510</v>
      </c>
      <c r="K43" s="11">
        <v>-41.30236</v>
      </c>
      <c r="L43" s="11">
        <v>145.44465</v>
      </c>
      <c r="N43" s="8" t="s">
        <v>37</v>
      </c>
      <c r="P43" s="8">
        <v>1</v>
      </c>
    </row>
    <row r="44" spans="1:16" x14ac:dyDescent="0.15">
      <c r="A44" s="7" t="s">
        <v>118</v>
      </c>
      <c r="B44" s="9" t="str">
        <f>VLOOKUP(D44,[1]TASMaps!$H$4:$K$269,3,FALSE)</f>
        <v>TL05</v>
      </c>
      <c r="C44" s="9" t="str">
        <f>VLOOKUP(D44,[1]TASMaps!$H$4:$K$269,4,FALSE)</f>
        <v>Murchison</v>
      </c>
      <c r="D44" s="9">
        <v>4038</v>
      </c>
      <c r="E44" s="9" t="s">
        <v>90</v>
      </c>
      <c r="F44" s="9" t="s">
        <v>30</v>
      </c>
      <c r="G44" s="9" t="s">
        <v>24</v>
      </c>
      <c r="H44" s="8" t="s">
        <v>20</v>
      </c>
      <c r="I44" s="10">
        <v>410420</v>
      </c>
      <c r="J44" s="10">
        <v>5380305</v>
      </c>
      <c r="K44" s="11">
        <v>-41.72401</v>
      </c>
      <c r="L44" s="11">
        <v>145.92299</v>
      </c>
      <c r="M44" s="8" t="s">
        <v>21</v>
      </c>
      <c r="N44" s="8">
        <v>4</v>
      </c>
      <c r="O44" s="8">
        <v>4</v>
      </c>
      <c r="P44" s="8">
        <v>5</v>
      </c>
    </row>
    <row r="45" spans="1:16" x14ac:dyDescent="0.15">
      <c r="A45" s="7" t="s">
        <v>119</v>
      </c>
      <c r="B45" s="9" t="str">
        <f>VLOOKUP(D45,[1]TASMaps!$H$4:$K$269,3,FALSE)</f>
        <v>TM07</v>
      </c>
      <c r="C45" s="9" t="str">
        <f>VLOOKUP(D45,[1]TASMaps!$H$4:$K$269,4,FALSE)</f>
        <v>Penstock</v>
      </c>
      <c r="D45" s="9">
        <v>4634</v>
      </c>
      <c r="E45" s="9" t="s">
        <v>120</v>
      </c>
      <c r="F45" s="9" t="s">
        <v>104</v>
      </c>
      <c r="G45" s="9" t="s">
        <v>36</v>
      </c>
      <c r="H45" s="8" t="s">
        <v>20</v>
      </c>
      <c r="I45" s="10">
        <v>479610</v>
      </c>
      <c r="J45" s="10">
        <v>5348670</v>
      </c>
      <c r="K45" s="11">
        <v>-42.013730000000002</v>
      </c>
      <c r="L45" s="11">
        <v>146.75373999999999</v>
      </c>
      <c r="N45" s="8" t="s">
        <v>37</v>
      </c>
      <c r="P45" s="8">
        <v>1</v>
      </c>
    </row>
    <row r="46" spans="1:16" x14ac:dyDescent="0.15">
      <c r="A46" s="7" t="s">
        <v>121</v>
      </c>
      <c r="B46" s="9" t="str">
        <f>VLOOKUP(D46,[1]TASMaps!$H$4:$K$269,3,FALSE)</f>
        <v>TK08</v>
      </c>
      <c r="C46" s="9" t="str">
        <f>VLOOKUP(D46,[1]TASMaps!$H$4:$K$269,4,FALSE)</f>
        <v>Perth</v>
      </c>
      <c r="D46" s="9">
        <v>5241</v>
      </c>
      <c r="E46" s="9" t="s">
        <v>122</v>
      </c>
      <c r="F46" s="9" t="s">
        <v>30</v>
      </c>
      <c r="G46" s="9" t="s">
        <v>87</v>
      </c>
      <c r="H46" s="8" t="s">
        <v>20</v>
      </c>
      <c r="I46" s="10">
        <v>534950</v>
      </c>
      <c r="J46" s="10">
        <v>5419400</v>
      </c>
      <c r="K46" s="11">
        <v>-41.376159999999999</v>
      </c>
      <c r="L46" s="11">
        <v>147.41794999999999</v>
      </c>
      <c r="M46" s="8" t="s">
        <v>21</v>
      </c>
      <c r="N46" s="8" t="s">
        <v>37</v>
      </c>
      <c r="O46" s="8">
        <v>1</v>
      </c>
      <c r="P46" s="8">
        <v>1</v>
      </c>
    </row>
    <row r="47" spans="1:16" x14ac:dyDescent="0.15">
      <c r="A47" s="7" t="s">
        <v>123</v>
      </c>
      <c r="B47" s="9" t="str">
        <f>VLOOKUP(D47,[1]TASMaps!$H$4:$K$269,3,FALSE)</f>
        <v>TL06</v>
      </c>
      <c r="C47" s="9" t="str">
        <f>VLOOKUP(D47,[1]TASMaps!$H$4:$K$269,4,FALSE)</f>
        <v>Jerusalem</v>
      </c>
      <c r="D47" s="9">
        <v>4438</v>
      </c>
      <c r="E47" s="9" t="s">
        <v>124</v>
      </c>
      <c r="F47" s="9" t="s">
        <v>30</v>
      </c>
      <c r="G47" s="9" t="s">
        <v>33</v>
      </c>
      <c r="H47" s="8" t="s">
        <v>20</v>
      </c>
      <c r="I47" s="10">
        <v>459160</v>
      </c>
      <c r="J47" s="10">
        <v>5381795</v>
      </c>
      <c r="K47" s="11">
        <v>-41.714590000000001</v>
      </c>
      <c r="L47" s="11">
        <v>146.50906000000001</v>
      </c>
      <c r="N47" s="8" t="s">
        <v>37</v>
      </c>
      <c r="O47" s="8">
        <v>1</v>
      </c>
      <c r="P47" s="8">
        <v>1</v>
      </c>
    </row>
    <row r="48" spans="1:16" x14ac:dyDescent="0.15">
      <c r="A48" s="7" t="s">
        <v>125</v>
      </c>
      <c r="B48" s="9" t="str">
        <f>VLOOKUP(D48,[1]TASMaps!$H$4:$K$269,3,FALSE)</f>
        <v>TM05</v>
      </c>
      <c r="C48" s="9" t="str">
        <f>VLOOKUP(D48,[1]TASMaps!$H$4:$K$269,4,FALSE)</f>
        <v>Eldon</v>
      </c>
      <c r="D48" s="9">
        <v>3835</v>
      </c>
      <c r="E48" s="9" t="s">
        <v>126</v>
      </c>
      <c r="F48" s="9" t="s">
        <v>18</v>
      </c>
      <c r="G48" s="9" t="s">
        <v>24</v>
      </c>
      <c r="H48" s="8" t="s">
        <v>20</v>
      </c>
      <c r="I48" s="10">
        <v>382740</v>
      </c>
      <c r="J48" s="10">
        <v>5353580</v>
      </c>
      <c r="K48" s="11">
        <v>-41.96105</v>
      </c>
      <c r="L48" s="11">
        <v>145.58500000000001</v>
      </c>
      <c r="N48" s="8" t="s">
        <v>37</v>
      </c>
      <c r="P48" s="8">
        <v>2</v>
      </c>
    </row>
    <row r="49" spans="1:16" x14ac:dyDescent="0.15">
      <c r="A49" s="7" t="s">
        <v>127</v>
      </c>
      <c r="B49" s="9" t="str">
        <f>VLOOKUP(D49,[1]TASMaps!$H$4:$K$269,3,FALSE)</f>
        <v>TP06</v>
      </c>
      <c r="C49" s="9" t="str">
        <f>VLOOKUP(D49,[1]TASMaps!$H$4:$K$269,4,FALSE)</f>
        <v>Denison Range</v>
      </c>
      <c r="D49" s="9">
        <v>4229</v>
      </c>
      <c r="E49" s="9" t="s">
        <v>128</v>
      </c>
      <c r="F49" s="9" t="s">
        <v>18</v>
      </c>
      <c r="G49" s="9" t="s">
        <v>36</v>
      </c>
      <c r="H49" s="8" t="s">
        <v>20</v>
      </c>
      <c r="I49" s="10">
        <v>439410</v>
      </c>
      <c r="J49" s="10">
        <v>5295430</v>
      </c>
      <c r="K49" s="11">
        <v>-42.491120000000002</v>
      </c>
      <c r="L49" s="11">
        <v>146.2627</v>
      </c>
      <c r="N49" s="8" t="s">
        <v>37</v>
      </c>
      <c r="O49" s="8">
        <v>1</v>
      </c>
      <c r="P49" s="8">
        <v>1</v>
      </c>
    </row>
    <row r="50" spans="1:16" x14ac:dyDescent="0.15">
      <c r="A50" s="7" t="s">
        <v>129</v>
      </c>
      <c r="B50" s="9" t="str">
        <f>VLOOKUP(D50,[1]TASMaps!$H$4:$K$269,3,FALSE)</f>
        <v>TM10</v>
      </c>
      <c r="C50" s="9" t="str">
        <f>VLOOKUP(D50,[1]TASMaps!$H$4:$K$269,4,FALSE)</f>
        <v>Moulting Lagoon</v>
      </c>
      <c r="D50" s="9">
        <v>6033</v>
      </c>
      <c r="E50" s="9" t="s">
        <v>61</v>
      </c>
      <c r="F50" s="9" t="s">
        <v>30</v>
      </c>
      <c r="G50" s="9" t="s">
        <v>62</v>
      </c>
      <c r="H50" s="8" t="s">
        <v>20</v>
      </c>
      <c r="I50" s="10">
        <v>608410</v>
      </c>
      <c r="J50" s="10">
        <v>5332940</v>
      </c>
      <c r="K50" s="11">
        <v>-42.148150000000001</v>
      </c>
      <c r="L50" s="11">
        <v>148.37266</v>
      </c>
      <c r="N50" s="8" t="s">
        <v>37</v>
      </c>
      <c r="P50" s="8">
        <v>1</v>
      </c>
    </row>
    <row r="51" spans="1:16" x14ac:dyDescent="0.15">
      <c r="A51" s="7" t="s">
        <v>130</v>
      </c>
      <c r="B51" s="9" t="str">
        <f>VLOOKUP(D51,[1]TASMaps!$H$4:$K$269,3,FALSE)</f>
        <v>TM06</v>
      </c>
      <c r="C51" s="9" t="str">
        <f>VLOOKUP(D51,[1]TASMaps!$H$4:$K$269,4,FALSE)</f>
        <v>St Clair</v>
      </c>
      <c r="D51" s="9">
        <v>4433</v>
      </c>
      <c r="E51" s="9" t="s">
        <v>131</v>
      </c>
      <c r="F51" s="9" t="s">
        <v>23</v>
      </c>
      <c r="G51" s="9" t="s">
        <v>36</v>
      </c>
      <c r="H51" s="8" t="s">
        <v>20</v>
      </c>
      <c r="I51" s="10">
        <v>459200</v>
      </c>
      <c r="J51" s="10">
        <v>5337040</v>
      </c>
      <c r="K51" s="11">
        <v>-42.11768</v>
      </c>
      <c r="L51" s="11">
        <v>146.50644</v>
      </c>
      <c r="N51" s="8" t="s">
        <v>37</v>
      </c>
      <c r="P51" s="8">
        <v>1</v>
      </c>
    </row>
    <row r="52" spans="1:16" x14ac:dyDescent="0.15">
      <c r="A52" s="7" t="s">
        <v>132</v>
      </c>
      <c r="B52" s="9" t="str">
        <f>VLOOKUP(D52,[1]TASMaps!$H$4:$K$269,3,FALSE)</f>
        <v>TN06</v>
      </c>
      <c r="C52" s="9" t="str">
        <f>VLOOKUP(D52,[1]TASMaps!$H$4:$K$269,4,FALSE)</f>
        <v>King William</v>
      </c>
      <c r="D52" s="9">
        <v>4232</v>
      </c>
      <c r="E52" s="9" t="s">
        <v>80</v>
      </c>
      <c r="F52" s="9" t="s">
        <v>30</v>
      </c>
      <c r="G52" s="9" t="s">
        <v>36</v>
      </c>
      <c r="H52" s="8" t="s">
        <v>20</v>
      </c>
      <c r="I52" s="10">
        <v>429120</v>
      </c>
      <c r="J52" s="10">
        <v>5321590</v>
      </c>
      <c r="K52" s="11">
        <v>-42.254669999999997</v>
      </c>
      <c r="L52" s="11">
        <v>146.14071000000001</v>
      </c>
      <c r="N52" s="8" t="s">
        <v>37</v>
      </c>
      <c r="P52" s="8">
        <v>1</v>
      </c>
    </row>
    <row r="53" spans="1:16" x14ac:dyDescent="0.15">
      <c r="A53" s="7" t="s">
        <v>133</v>
      </c>
      <c r="B53" s="9" t="str">
        <f>VLOOKUP(D53,[1]TASMaps!$H$4:$K$269,3,FALSE)</f>
        <v>TM06</v>
      </c>
      <c r="C53" s="9" t="str">
        <f>VLOOKUP(D53,[1]TASMaps!$H$4:$K$269,4,FALSE)</f>
        <v>St Clair</v>
      </c>
      <c r="D53" s="9">
        <v>4233</v>
      </c>
      <c r="E53" s="9" t="s">
        <v>134</v>
      </c>
      <c r="F53" s="9" t="s">
        <v>135</v>
      </c>
      <c r="G53" s="9" t="s">
        <v>36</v>
      </c>
      <c r="H53" s="8" t="s">
        <v>20</v>
      </c>
      <c r="I53" s="10">
        <v>433450</v>
      </c>
      <c r="J53" s="10">
        <v>5333600</v>
      </c>
      <c r="K53" s="11">
        <v>-42.146900000000002</v>
      </c>
      <c r="L53" s="11">
        <v>146.19457</v>
      </c>
      <c r="N53" s="8" t="s">
        <v>37</v>
      </c>
      <c r="P53" s="8">
        <v>1</v>
      </c>
    </row>
    <row r="54" spans="1:16" x14ac:dyDescent="0.15">
      <c r="A54" s="7" t="s">
        <v>136</v>
      </c>
      <c r="B54" s="9" t="str">
        <f>VLOOKUP(D54,[1]TASMaps!$H$4:$K$269,3,FALSE)</f>
        <v>TK05</v>
      </c>
      <c r="C54" s="9" t="str">
        <f>VLOOKUP(D54,[1]TASMaps!$H$4:$K$269,4,FALSE)</f>
        <v>Black Bluff</v>
      </c>
      <c r="D54" s="9">
        <v>4039</v>
      </c>
      <c r="E54" s="9" t="s">
        <v>99</v>
      </c>
      <c r="F54" s="9" t="s">
        <v>30</v>
      </c>
      <c r="G54" s="9" t="s">
        <v>117</v>
      </c>
      <c r="H54" s="8" t="s">
        <v>20</v>
      </c>
      <c r="I54" s="10">
        <v>403190</v>
      </c>
      <c r="J54" s="10">
        <v>5397110</v>
      </c>
      <c r="K54" s="11">
        <v>-41.571829999999999</v>
      </c>
      <c r="L54" s="11">
        <v>145.83881</v>
      </c>
      <c r="M54" s="8" t="s">
        <v>21</v>
      </c>
      <c r="N54" s="8" t="s">
        <v>37</v>
      </c>
      <c r="O54" s="8">
        <v>2</v>
      </c>
      <c r="P54" s="8">
        <v>2</v>
      </c>
    </row>
    <row r="55" spans="1:16" x14ac:dyDescent="0.15">
      <c r="A55" s="7" t="s">
        <v>137</v>
      </c>
      <c r="B55" s="9" t="str">
        <f>VLOOKUP(D55,[1]TASMaps!$H$4:$K$269,3,FALSE)</f>
        <v>TN06</v>
      </c>
      <c r="C55" s="9" t="str">
        <f>VLOOKUP(D55,[1]TASMaps!$H$4:$K$269,4,FALSE)</f>
        <v>King William</v>
      </c>
      <c r="D55" s="9">
        <v>4232</v>
      </c>
      <c r="E55" s="9" t="s">
        <v>80</v>
      </c>
      <c r="F55" s="9" t="s">
        <v>30</v>
      </c>
      <c r="G55" s="9" t="s">
        <v>36</v>
      </c>
      <c r="H55" s="8" t="s">
        <v>20</v>
      </c>
      <c r="I55" s="10">
        <v>423080</v>
      </c>
      <c r="J55" s="10">
        <v>5328320</v>
      </c>
      <c r="K55" s="11">
        <v>-42.193489999999997</v>
      </c>
      <c r="L55" s="11">
        <v>146.06838999999999</v>
      </c>
      <c r="N55" s="8" t="s">
        <v>37</v>
      </c>
      <c r="P55" s="8">
        <v>1</v>
      </c>
    </row>
    <row r="56" spans="1:16" x14ac:dyDescent="0.15">
      <c r="A56" s="7" t="s">
        <v>138</v>
      </c>
      <c r="B56" s="9" t="str">
        <f>VLOOKUP(D56,[1]TASMaps!$H$4:$K$269,3,FALSE)</f>
        <v>TR06</v>
      </c>
      <c r="C56" s="9" t="str">
        <f>VLOOKUP(D56,[1]TASMaps!$H$4:$K$269,4,FALSE)</f>
        <v>Western Arthur</v>
      </c>
      <c r="D56" s="9">
        <v>4422</v>
      </c>
      <c r="E56" s="9" t="s">
        <v>139</v>
      </c>
      <c r="F56" s="9" t="s">
        <v>18</v>
      </c>
      <c r="G56" s="9" t="s">
        <v>27</v>
      </c>
      <c r="H56" s="8" t="s">
        <v>20</v>
      </c>
      <c r="I56" s="10">
        <v>443800</v>
      </c>
      <c r="J56" s="10">
        <v>5220810</v>
      </c>
      <c r="K56" s="11">
        <v>-43.163379999999997</v>
      </c>
      <c r="L56" s="11">
        <v>146.30867000000001</v>
      </c>
      <c r="N56" s="8" t="s">
        <v>37</v>
      </c>
      <c r="P56" s="8">
        <v>1</v>
      </c>
    </row>
    <row r="57" spans="1:16" x14ac:dyDescent="0.15">
      <c r="A57" s="7" t="s">
        <v>140</v>
      </c>
      <c r="B57" s="9" t="str">
        <f>VLOOKUP(D57,[1]TASMaps!$H$4:$K$269,3,FALSE)</f>
        <v>TK06</v>
      </c>
      <c r="C57" s="9" t="str">
        <f>VLOOKUP(D57,[1]TASMaps!$H$4:$K$269,4,FALSE)</f>
        <v>Fossey Mountains</v>
      </c>
      <c r="D57" s="9">
        <v>4240</v>
      </c>
      <c r="E57" s="9" t="s">
        <v>141</v>
      </c>
      <c r="F57" s="9" t="s">
        <v>30</v>
      </c>
      <c r="G57" s="9" t="s">
        <v>142</v>
      </c>
      <c r="H57" s="8" t="s">
        <v>20</v>
      </c>
      <c r="I57" s="10">
        <v>425520</v>
      </c>
      <c r="J57" s="10">
        <v>5409420</v>
      </c>
      <c r="K57" s="11">
        <v>-41.463360000000002</v>
      </c>
      <c r="L57" s="11">
        <v>146.10812999999999</v>
      </c>
      <c r="N57" s="8" t="s">
        <v>37</v>
      </c>
      <c r="P57" s="8">
        <v>1</v>
      </c>
    </row>
    <row r="58" spans="1:16" x14ac:dyDescent="0.15">
      <c r="A58" s="9" t="s">
        <v>143</v>
      </c>
      <c r="B58" s="9" t="str">
        <f>VLOOKUP(D58,[1]TASMaps!$H$4:$K$269,3,FALSE)</f>
        <v>TK04</v>
      </c>
      <c r="C58" s="9" t="str">
        <f>VLOOKUP(D58,[1]TASMaps!$H$4:$K$269,4,FALSE)</f>
        <v>White River</v>
      </c>
      <c r="D58" s="9">
        <v>3640</v>
      </c>
      <c r="E58" s="9" t="s">
        <v>144</v>
      </c>
      <c r="F58" s="9" t="s">
        <v>30</v>
      </c>
      <c r="G58" s="9" t="s">
        <v>117</v>
      </c>
      <c r="H58" s="8" t="s">
        <v>20</v>
      </c>
      <c r="I58" s="10">
        <v>362320</v>
      </c>
      <c r="J58" s="10">
        <v>5406000</v>
      </c>
      <c r="K58" s="11">
        <v>-41.485790000000001</v>
      </c>
      <c r="L58" s="11">
        <v>145.35078999999999</v>
      </c>
      <c r="N58" s="8" t="s">
        <v>37</v>
      </c>
      <c r="P58" s="8">
        <v>1</v>
      </c>
    </row>
    <row r="59" spans="1:16" x14ac:dyDescent="0.15">
      <c r="A59" s="7" t="s">
        <v>145</v>
      </c>
      <c r="B59" s="9" t="str">
        <f>VLOOKUP(D59,[1]TASMaps!$H$4:$K$269,3,FALSE)</f>
        <v>TM07</v>
      </c>
      <c r="C59" s="9" t="str">
        <f>VLOOKUP(D59,[1]TASMaps!$H$4:$K$269,4,FALSE)</f>
        <v>Penstock</v>
      </c>
      <c r="D59" s="9">
        <v>4633</v>
      </c>
      <c r="E59" s="9" t="s">
        <v>146</v>
      </c>
      <c r="F59" s="9" t="s">
        <v>104</v>
      </c>
      <c r="G59" s="9" t="s">
        <v>36</v>
      </c>
      <c r="H59" s="8" t="s">
        <v>20</v>
      </c>
      <c r="I59" s="10">
        <v>466390</v>
      </c>
      <c r="J59" s="10">
        <v>5338120</v>
      </c>
      <c r="K59" s="11">
        <v>-42.108289999999997</v>
      </c>
      <c r="L59" s="11">
        <v>146.59348</v>
      </c>
      <c r="N59" s="8" t="s">
        <v>37</v>
      </c>
      <c r="P59" s="8">
        <v>1</v>
      </c>
    </row>
    <row r="60" spans="1:16" x14ac:dyDescent="0.15">
      <c r="A60" s="14" t="s">
        <v>147</v>
      </c>
      <c r="B60" s="9" t="str">
        <f>VLOOKUP(D60,[1]TASMaps!$H$4:$K$269,3,FALSE)</f>
        <v>TP07</v>
      </c>
      <c r="C60" s="9" t="str">
        <f>VLOOKUP(D60,[1]TASMaps!$H$4:$K$269,4,FALSE)</f>
        <v>Meadowbank</v>
      </c>
      <c r="D60" s="9">
        <v>4827</v>
      </c>
      <c r="E60" s="9" t="s">
        <v>148</v>
      </c>
      <c r="F60" s="9" t="s">
        <v>30</v>
      </c>
      <c r="G60" s="9" t="s">
        <v>19</v>
      </c>
      <c r="H60" s="8" t="s">
        <v>20</v>
      </c>
      <c r="I60" s="10">
        <v>497950</v>
      </c>
      <c r="J60" s="10">
        <v>5270970</v>
      </c>
      <c r="K60" s="11">
        <v>-42.713769999999997</v>
      </c>
      <c r="L60" s="11">
        <v>146.97497000000001</v>
      </c>
      <c r="N60" s="8" t="s">
        <v>37</v>
      </c>
      <c r="P60" s="8">
        <v>1</v>
      </c>
    </row>
    <row r="61" spans="1:16" x14ac:dyDescent="0.15">
      <c r="A61" s="7" t="s">
        <v>149</v>
      </c>
      <c r="B61" s="9" t="str">
        <f>VLOOKUP(D61,[1]TASMaps!$H$4:$K$269,3,FALSE)</f>
        <v>TD10</v>
      </c>
      <c r="C61" s="9" t="str">
        <f>VLOOKUP(D61,[1]TASMaps!$H$4:$K$269,4,FALSE)</f>
        <v>Babel</v>
      </c>
      <c r="D61" s="9">
        <v>5954</v>
      </c>
      <c r="E61" s="9" t="s">
        <v>150</v>
      </c>
      <c r="F61" s="9" t="s">
        <v>30</v>
      </c>
      <c r="G61" s="9" t="s">
        <v>151</v>
      </c>
      <c r="H61" s="8" t="s">
        <v>20</v>
      </c>
      <c r="I61" s="10">
        <v>591910</v>
      </c>
      <c r="J61" s="10">
        <v>5546610</v>
      </c>
      <c r="K61" s="11">
        <v>-40.225900000000003</v>
      </c>
      <c r="L61" s="11">
        <v>148.08029999999999</v>
      </c>
      <c r="N61" s="8" t="s">
        <v>37</v>
      </c>
      <c r="P61" s="8">
        <v>1</v>
      </c>
    </row>
    <row r="62" spans="1:16" x14ac:dyDescent="0.15">
      <c r="A62" s="7" t="s">
        <v>152</v>
      </c>
      <c r="B62" s="9" t="str">
        <f>VLOOKUP(D62,[1]TASMaps!$H$4:$K$269,3,FALSE)</f>
        <v>TK09</v>
      </c>
      <c r="C62" s="9" t="str">
        <f>VLOOKUP(D62,[1]TASMaps!$H$4:$K$269,4,FALSE)</f>
        <v>Ben Lomond</v>
      </c>
      <c r="D62" s="9">
        <v>5441</v>
      </c>
      <c r="E62" s="9" t="s">
        <v>152</v>
      </c>
      <c r="F62" s="9" t="s">
        <v>30</v>
      </c>
      <c r="G62" s="9" t="s">
        <v>44</v>
      </c>
      <c r="H62" s="8" t="s">
        <v>20</v>
      </c>
      <c r="I62" s="10">
        <v>552325</v>
      </c>
      <c r="J62" s="10">
        <v>5415565</v>
      </c>
      <c r="K62" s="11">
        <v>-41.409759999999999</v>
      </c>
      <c r="L62" s="11">
        <v>147.62606</v>
      </c>
      <c r="M62" s="8" t="s">
        <v>21</v>
      </c>
      <c r="N62" s="8">
        <v>2</v>
      </c>
      <c r="O62" s="8">
        <v>2</v>
      </c>
      <c r="P62" s="8">
        <v>2</v>
      </c>
    </row>
    <row r="63" spans="1:16" x14ac:dyDescent="0.15">
      <c r="A63" s="7" t="s">
        <v>153</v>
      </c>
      <c r="B63" s="9" t="str">
        <f>VLOOKUP(D63,[1]TASMaps!$H$4:$K$269,3,FALSE)</f>
        <v>TL05</v>
      </c>
      <c r="C63" s="9" t="str">
        <f>VLOOKUP(D63,[1]TASMaps!$H$4:$K$269,4,FALSE)</f>
        <v>Murchison</v>
      </c>
      <c r="D63" s="9">
        <v>4038</v>
      </c>
      <c r="E63" s="9" t="s">
        <v>90</v>
      </c>
      <c r="F63" s="9" t="s">
        <v>23</v>
      </c>
      <c r="G63" s="9" t="s">
        <v>24</v>
      </c>
      <c r="H63" s="8" t="s">
        <v>20</v>
      </c>
      <c r="I63" s="10">
        <v>412810</v>
      </c>
      <c r="J63" s="10">
        <v>5383420</v>
      </c>
      <c r="K63" s="11">
        <v>-41.69623</v>
      </c>
      <c r="L63" s="11">
        <v>145.95218</v>
      </c>
      <c r="N63" s="8" t="s">
        <v>37</v>
      </c>
      <c r="P63" s="8">
        <v>1</v>
      </c>
    </row>
    <row r="64" spans="1:16" x14ac:dyDescent="0.15">
      <c r="A64" s="9" t="s">
        <v>154</v>
      </c>
      <c r="B64" s="9" t="str">
        <f>VLOOKUP(D64,[1]TASMaps!$H$4:$K$269,3,FALSE)</f>
        <v>TK09</v>
      </c>
      <c r="C64" s="9" t="str">
        <f>VLOOKUP(D64,[1]TASMaps!$H$4:$K$269,4,FALSE)</f>
        <v>Ben Lomond</v>
      </c>
      <c r="D64" s="9">
        <v>5639</v>
      </c>
      <c r="E64" s="9" t="s">
        <v>155</v>
      </c>
      <c r="F64" s="9" t="s">
        <v>30</v>
      </c>
      <c r="G64" s="9" t="s">
        <v>78</v>
      </c>
      <c r="H64" s="8" t="s">
        <v>20</v>
      </c>
      <c r="I64" s="10">
        <v>562360</v>
      </c>
      <c r="J64" s="10">
        <v>5393635</v>
      </c>
      <c r="K64" s="11">
        <v>-41.606560000000002</v>
      </c>
      <c r="L64" s="11">
        <v>147.74839</v>
      </c>
      <c r="N64" s="8" t="s">
        <v>37</v>
      </c>
      <c r="P64" s="8">
        <v>1</v>
      </c>
    </row>
    <row r="65" spans="1:16" x14ac:dyDescent="0.15">
      <c r="A65" s="7" t="s">
        <v>156</v>
      </c>
      <c r="B65" s="9" t="str">
        <f>VLOOKUP(D65,[1]TASMaps!$H$4:$K$269,3,FALSE)</f>
        <v>TS06</v>
      </c>
      <c r="C65" s="9" t="str">
        <f>VLOOKUP(D65,[1]TASMaps!$H$4:$K$269,4,FALSE)</f>
        <v>Bathurst</v>
      </c>
      <c r="D65" s="9">
        <v>4220</v>
      </c>
      <c r="E65" s="9" t="s">
        <v>157</v>
      </c>
      <c r="F65" s="9" t="s">
        <v>30</v>
      </c>
      <c r="G65" s="9" t="s">
        <v>27</v>
      </c>
      <c r="H65" s="8" t="s">
        <v>20</v>
      </c>
      <c r="I65" s="10">
        <v>420730</v>
      </c>
      <c r="J65" s="10">
        <v>5205110</v>
      </c>
      <c r="K65" s="11">
        <v>-43.302669999999999</v>
      </c>
      <c r="L65" s="11">
        <v>146.02265</v>
      </c>
      <c r="N65" s="8">
        <v>3</v>
      </c>
      <c r="O65" s="8">
        <v>3</v>
      </c>
      <c r="P65" s="8">
        <v>2</v>
      </c>
    </row>
    <row r="66" spans="1:16" x14ac:dyDescent="0.15">
      <c r="A66" s="7" t="s">
        <v>158</v>
      </c>
      <c r="B66" s="9" t="str">
        <f>VLOOKUP(D66,[1]TASMaps!$H$4:$K$269,3,FALSE)</f>
        <v>TJ04</v>
      </c>
      <c r="C66" s="9" t="str">
        <f>VLOOKUP(D66,[1]TASMaps!$H$4:$K$269,4,FALSE)</f>
        <v>Rapid River</v>
      </c>
      <c r="D66" s="9">
        <v>3442</v>
      </c>
      <c r="E66" s="9" t="s">
        <v>159</v>
      </c>
      <c r="F66" s="9" t="s">
        <v>30</v>
      </c>
      <c r="G66" s="9" t="s">
        <v>107</v>
      </c>
      <c r="H66" s="8" t="s">
        <v>20</v>
      </c>
      <c r="I66" s="10">
        <v>352650</v>
      </c>
      <c r="J66" s="10">
        <v>5427860</v>
      </c>
      <c r="K66" s="11">
        <v>-41.28725</v>
      </c>
      <c r="L66" s="11">
        <v>145.24033</v>
      </c>
      <c r="N66" s="8" t="s">
        <v>37</v>
      </c>
      <c r="O66" s="8">
        <v>2</v>
      </c>
      <c r="P66" s="8">
        <v>2</v>
      </c>
    </row>
    <row r="67" spans="1:16" x14ac:dyDescent="0.15">
      <c r="A67" s="7" t="s">
        <v>160</v>
      </c>
      <c r="B67" s="9" t="str">
        <f>VLOOKUP(D67,[1]TASMaps!$H$4:$K$269,3,FALSE)</f>
        <v>TP08</v>
      </c>
      <c r="C67" s="9" t="str">
        <f>VLOOKUP(D67,[1]TASMaps!$H$4:$K$269,4,FALSE)</f>
        <v>Green Ponds</v>
      </c>
      <c r="D67" s="9">
        <v>5228</v>
      </c>
      <c r="E67" s="9" t="s">
        <v>58</v>
      </c>
      <c r="F67" s="9" t="s">
        <v>30</v>
      </c>
      <c r="G67" s="9" t="s">
        <v>59</v>
      </c>
      <c r="H67" s="8" t="s">
        <v>20</v>
      </c>
      <c r="I67" s="10">
        <v>526820</v>
      </c>
      <c r="J67" s="10">
        <v>5285830</v>
      </c>
      <c r="K67" s="11">
        <v>-42.579479999999997</v>
      </c>
      <c r="L67" s="11">
        <v>147.32683</v>
      </c>
      <c r="N67" s="8" t="s">
        <v>37</v>
      </c>
      <c r="P67" s="8">
        <v>1</v>
      </c>
    </row>
    <row r="68" spans="1:16" x14ac:dyDescent="0.15">
      <c r="A68" s="7" t="s">
        <v>161</v>
      </c>
      <c r="B68" s="9" t="str">
        <f>VLOOKUP(D68,[1]TASMaps!$H$4:$K$269,3,FALSE)</f>
        <v>TP07</v>
      </c>
      <c r="C68" s="9" t="str">
        <f>VLOOKUP(D68,[1]TASMaps!$H$4:$K$269,4,FALSE)</f>
        <v>Meadowbank</v>
      </c>
      <c r="D68" s="9">
        <v>4828</v>
      </c>
      <c r="E68" s="9" t="s">
        <v>162</v>
      </c>
      <c r="F68" s="9" t="s">
        <v>30</v>
      </c>
      <c r="G68" s="9" t="s">
        <v>36</v>
      </c>
      <c r="H68" s="8" t="s">
        <v>20</v>
      </c>
      <c r="I68" s="10">
        <v>480030</v>
      </c>
      <c r="J68" s="10">
        <v>5283510</v>
      </c>
      <c r="K68" s="11">
        <v>-42.600580000000001</v>
      </c>
      <c r="L68" s="11">
        <v>146.75657000000001</v>
      </c>
      <c r="N68" s="8" t="s">
        <v>37</v>
      </c>
      <c r="P68" s="8">
        <v>1</v>
      </c>
    </row>
    <row r="69" spans="1:16" x14ac:dyDescent="0.15">
      <c r="A69" s="7" t="s">
        <v>163</v>
      </c>
      <c r="B69" s="9" t="str">
        <f>VLOOKUP(D69,[1]TASMaps!$H$4:$K$269,3,FALSE)</f>
        <v>TD10</v>
      </c>
      <c r="C69" s="9" t="str">
        <f>VLOOKUP(D69,[1]TASMaps!$H$4:$K$269,4,FALSE)</f>
        <v>Babel</v>
      </c>
      <c r="D69" s="9">
        <v>5955</v>
      </c>
      <c r="E69" s="9" t="s">
        <v>164</v>
      </c>
      <c r="F69" s="9" t="s">
        <v>18</v>
      </c>
      <c r="G69" s="9" t="s">
        <v>151</v>
      </c>
      <c r="H69" s="8" t="s">
        <v>20</v>
      </c>
      <c r="I69" s="10">
        <v>596260</v>
      </c>
      <c r="J69" s="10">
        <v>5559180</v>
      </c>
      <c r="K69" s="11">
        <v>-40.112180000000002</v>
      </c>
      <c r="L69" s="11">
        <v>148.12953999999999</v>
      </c>
      <c r="N69" s="8" t="s">
        <v>37</v>
      </c>
      <c r="P69" s="8">
        <v>1</v>
      </c>
    </row>
    <row r="70" spans="1:16" x14ac:dyDescent="0.15">
      <c r="A70" s="7" t="s">
        <v>165</v>
      </c>
      <c r="B70" s="9" t="str">
        <f>VLOOKUP(D70,[1]TASMaps!$H$4:$K$269,3,FALSE)</f>
        <v>TN08</v>
      </c>
      <c r="C70" s="9" t="str">
        <f>VLOOKUP(D70,[1]TASMaps!$H$4:$K$269,4,FALSE)</f>
        <v>Tiberias</v>
      </c>
      <c r="D70" s="9">
        <v>5030</v>
      </c>
      <c r="E70" s="9" t="s">
        <v>166</v>
      </c>
      <c r="F70" s="9" t="s">
        <v>18</v>
      </c>
      <c r="G70" s="9" t="s">
        <v>59</v>
      </c>
      <c r="H70" s="8" t="s">
        <v>20</v>
      </c>
      <c r="I70" s="10">
        <v>516980</v>
      </c>
      <c r="J70" s="10">
        <v>5302460</v>
      </c>
      <c r="K70" s="11">
        <v>-42.429989999999997</v>
      </c>
      <c r="L70" s="11">
        <v>147.20642000000001</v>
      </c>
      <c r="N70" s="8" t="s">
        <v>37</v>
      </c>
      <c r="P70" s="8">
        <v>1</v>
      </c>
    </row>
    <row r="71" spans="1:16" x14ac:dyDescent="0.15">
      <c r="A71" s="7" t="s">
        <v>167</v>
      </c>
      <c r="B71" s="9" t="str">
        <f>VLOOKUP(D71,[1]TASMaps!$H$4:$K$269,3,FALSE)</f>
        <v>TL07</v>
      </c>
      <c r="C71" s="9" t="str">
        <f>VLOOKUP(D71,[1]TASMaps!$H$4:$K$269,4,FALSE)</f>
        <v>Breton</v>
      </c>
      <c r="D71" s="9">
        <v>4836</v>
      </c>
      <c r="E71" s="9" t="s">
        <v>168</v>
      </c>
      <c r="F71" s="9" t="s">
        <v>30</v>
      </c>
      <c r="G71" s="9" t="s">
        <v>78</v>
      </c>
      <c r="H71" s="8" t="s">
        <v>20</v>
      </c>
      <c r="I71" s="10">
        <v>498010</v>
      </c>
      <c r="J71" s="10">
        <v>5367350</v>
      </c>
      <c r="K71" s="11">
        <v>-41.845750000000002</v>
      </c>
      <c r="L71" s="11">
        <v>146.97603000000001</v>
      </c>
      <c r="N71" s="8" t="s">
        <v>37</v>
      </c>
      <c r="O71" s="8">
        <v>1</v>
      </c>
      <c r="P71" s="8">
        <v>1</v>
      </c>
    </row>
    <row r="72" spans="1:16" x14ac:dyDescent="0.15">
      <c r="A72" s="7" t="s">
        <v>169</v>
      </c>
      <c r="B72" s="9" t="str">
        <f>VLOOKUP(D72,[1]TASMaps!$H$4:$K$269,3,FALSE)</f>
        <v>TK04</v>
      </c>
      <c r="C72" s="9" t="str">
        <f>VLOOKUP(D72,[1]TASMaps!$H$4:$K$269,4,FALSE)</f>
        <v>White River</v>
      </c>
      <c r="D72" s="9">
        <v>3641</v>
      </c>
      <c r="E72" s="9" t="s">
        <v>170</v>
      </c>
      <c r="F72" s="9" t="s">
        <v>30</v>
      </c>
      <c r="G72" s="9" t="s">
        <v>117</v>
      </c>
      <c r="H72" s="8" t="s">
        <v>20</v>
      </c>
      <c r="I72" s="10">
        <v>376430</v>
      </c>
      <c r="J72" s="10">
        <v>5412660</v>
      </c>
      <c r="K72" s="11">
        <v>-41.42812</v>
      </c>
      <c r="L72" s="11">
        <v>145.52110999999999</v>
      </c>
      <c r="N72" s="8" t="s">
        <v>37</v>
      </c>
      <c r="P72" s="8">
        <v>1</v>
      </c>
    </row>
    <row r="73" spans="1:16" x14ac:dyDescent="0.15">
      <c r="A73" s="7" t="s">
        <v>171</v>
      </c>
      <c r="B73" s="9" t="str">
        <f>VLOOKUP(D73,[1]TASMaps!$H$4:$K$269,3,FALSE)</f>
        <v>TS07</v>
      </c>
      <c r="C73" s="9" t="str">
        <f>VLOOKUP(D73,[1]TASMaps!$H$4:$K$269,4,FALSE)</f>
        <v>Adamsons</v>
      </c>
      <c r="D73" s="9">
        <v>4619</v>
      </c>
      <c r="E73" s="9" t="s">
        <v>48</v>
      </c>
      <c r="F73" s="9" t="s">
        <v>30</v>
      </c>
      <c r="G73" s="9" t="s">
        <v>27</v>
      </c>
      <c r="H73" s="8" t="s">
        <v>20</v>
      </c>
      <c r="I73" s="10">
        <v>474410</v>
      </c>
      <c r="J73" s="10">
        <v>5191260</v>
      </c>
      <c r="K73" s="11">
        <v>-43.43112</v>
      </c>
      <c r="L73" s="11">
        <v>146.68383</v>
      </c>
      <c r="N73" s="8">
        <v>4</v>
      </c>
      <c r="O73" s="8">
        <v>4</v>
      </c>
      <c r="P73" s="8">
        <v>4</v>
      </c>
    </row>
    <row r="74" spans="1:16" x14ac:dyDescent="0.15">
      <c r="A74" s="9" t="s">
        <v>172</v>
      </c>
      <c r="B74" s="9" t="str">
        <f>VLOOKUP(D74,[1]TASMaps!$H$4:$K$269,3,FALSE)</f>
        <v>TP10</v>
      </c>
      <c r="C74" s="9" t="str">
        <f>VLOOKUP(D74,[1]TASMaps!$H$4:$K$269,4,FALSE)</f>
        <v>Maria</v>
      </c>
      <c r="D74" s="9">
        <v>5828</v>
      </c>
      <c r="E74" s="9" t="s">
        <v>173</v>
      </c>
      <c r="F74" s="9" t="s">
        <v>30</v>
      </c>
      <c r="G74" s="9" t="s">
        <v>62</v>
      </c>
      <c r="H74" s="8" t="s">
        <v>20</v>
      </c>
      <c r="I74" s="10">
        <v>591490</v>
      </c>
      <c r="J74" s="10">
        <v>5284210</v>
      </c>
      <c r="K74" s="11">
        <v>-42.589109999999998</v>
      </c>
      <c r="L74" s="11">
        <v>148.11505</v>
      </c>
      <c r="N74" s="8" t="s">
        <v>37</v>
      </c>
      <c r="P74" s="8">
        <v>1</v>
      </c>
    </row>
    <row r="75" spans="1:16" x14ac:dyDescent="0.15">
      <c r="A75" s="9" t="s">
        <v>174</v>
      </c>
      <c r="B75" s="9" t="str">
        <f>VLOOKUP(D75,[1]TASMaps!$H$4:$K$269,3,FALSE)</f>
        <v>TP10</v>
      </c>
      <c r="C75" s="9" t="str">
        <f>VLOOKUP(D75,[1]TASMaps!$H$4:$K$269,4,FALSE)</f>
        <v>Maria</v>
      </c>
      <c r="D75" s="9">
        <v>5828</v>
      </c>
      <c r="E75" s="9" t="s">
        <v>173</v>
      </c>
      <c r="F75" s="9" t="s">
        <v>30</v>
      </c>
      <c r="G75" s="9" t="s">
        <v>62</v>
      </c>
      <c r="H75" s="8" t="s">
        <v>20</v>
      </c>
      <c r="I75" s="10">
        <v>591500</v>
      </c>
      <c r="J75" s="10">
        <v>5284110</v>
      </c>
      <c r="K75" s="11">
        <v>-42.590009999999999</v>
      </c>
      <c r="L75" s="11">
        <v>148.11519000000001</v>
      </c>
      <c r="N75" s="8" t="s">
        <v>37</v>
      </c>
      <c r="P75" s="8">
        <v>1</v>
      </c>
    </row>
    <row r="76" spans="1:16" x14ac:dyDescent="0.15">
      <c r="A76" s="7" t="s">
        <v>175</v>
      </c>
      <c r="B76" s="9" t="str">
        <f>VLOOKUP(D76,[1]TASMaps!$H$4:$K$269,3,FALSE)</f>
        <v>TP10</v>
      </c>
      <c r="C76" s="9" t="str">
        <f>VLOOKUP(D76,[1]TASMaps!$H$4:$K$269,4,FALSE)</f>
        <v>Maria</v>
      </c>
      <c r="D76" s="9">
        <v>5828</v>
      </c>
      <c r="E76" s="9" t="s">
        <v>173</v>
      </c>
      <c r="F76" s="9" t="s">
        <v>30</v>
      </c>
      <c r="G76" s="9" t="s">
        <v>62</v>
      </c>
      <c r="H76" s="8" t="s">
        <v>20</v>
      </c>
      <c r="I76" s="10">
        <v>591430</v>
      </c>
      <c r="J76" s="10">
        <v>5284070</v>
      </c>
      <c r="K76" s="11">
        <v>-42.59037</v>
      </c>
      <c r="L76" s="11">
        <v>148.11435</v>
      </c>
      <c r="N76" s="8" t="s">
        <v>37</v>
      </c>
      <c r="O76" s="8">
        <v>1</v>
      </c>
      <c r="P76" s="8">
        <v>1</v>
      </c>
    </row>
    <row r="77" spans="1:16" x14ac:dyDescent="0.15">
      <c r="A77" s="7" t="s">
        <v>176</v>
      </c>
      <c r="B77" s="9" t="str">
        <f>VLOOKUP(D77,[1]TASMaps!$H$4:$K$269,3,FALSE)</f>
        <v>TL06</v>
      </c>
      <c r="C77" s="9" t="str">
        <f>VLOOKUP(D77,[1]TASMaps!$H$4:$K$269,4,FALSE)</f>
        <v>Jerusalem</v>
      </c>
      <c r="D77" s="9">
        <v>4236</v>
      </c>
      <c r="E77" s="9" t="s">
        <v>177</v>
      </c>
      <c r="F77" s="9" t="s">
        <v>23</v>
      </c>
      <c r="G77" s="9" t="s">
        <v>33</v>
      </c>
      <c r="H77" s="8" t="s">
        <v>20</v>
      </c>
      <c r="I77" s="10">
        <v>427640</v>
      </c>
      <c r="J77" s="10">
        <v>5364410</v>
      </c>
      <c r="K77" s="11">
        <v>-41.868920000000003</v>
      </c>
      <c r="L77" s="11">
        <v>146.12806</v>
      </c>
      <c r="N77" s="8" t="s">
        <v>37</v>
      </c>
      <c r="O77" s="8">
        <v>1</v>
      </c>
      <c r="P77" s="8">
        <v>1</v>
      </c>
    </row>
    <row r="78" spans="1:16" x14ac:dyDescent="0.15">
      <c r="A78" s="7" t="s">
        <v>178</v>
      </c>
      <c r="B78" s="9" t="str">
        <f>VLOOKUP(D78,[1]TASMaps!$H$4:$K$269,3,FALSE)</f>
        <v>TL06</v>
      </c>
      <c r="C78" s="9" t="str">
        <f>VLOOKUP(D78,[1]TASMaps!$H$4:$K$269,4,FALSE)</f>
        <v>Jerusalem</v>
      </c>
      <c r="D78" s="9">
        <v>4236</v>
      </c>
      <c r="E78" s="9" t="s">
        <v>177</v>
      </c>
      <c r="F78" s="9" t="s">
        <v>23</v>
      </c>
      <c r="G78" s="9" t="s">
        <v>33</v>
      </c>
      <c r="H78" s="8" t="s">
        <v>20</v>
      </c>
      <c r="I78" s="10">
        <v>427470</v>
      </c>
      <c r="J78" s="10">
        <v>5363800</v>
      </c>
      <c r="K78" s="11">
        <v>-41.874400000000001</v>
      </c>
      <c r="L78" s="11">
        <v>146.12594000000001</v>
      </c>
      <c r="N78" s="8" t="s">
        <v>37</v>
      </c>
      <c r="P78" s="8">
        <v>1</v>
      </c>
    </row>
    <row r="79" spans="1:16" x14ac:dyDescent="0.15">
      <c r="A79" s="7" t="s">
        <v>179</v>
      </c>
      <c r="B79" s="9" t="str">
        <f>VLOOKUP(D79,[1]TASMaps!$H$4:$K$269,3,FALSE)</f>
        <v>TK05</v>
      </c>
      <c r="C79" s="9" t="str">
        <f>VLOOKUP(D79,[1]TASMaps!$H$4:$K$269,4,FALSE)</f>
        <v>Black Bluff</v>
      </c>
      <c r="D79" s="9">
        <v>4041</v>
      </c>
      <c r="E79" s="9" t="s">
        <v>180</v>
      </c>
      <c r="F79" s="9" t="s">
        <v>30</v>
      </c>
      <c r="G79" s="9" t="s">
        <v>113</v>
      </c>
      <c r="H79" s="8" t="s">
        <v>20</v>
      </c>
      <c r="I79" s="10">
        <v>412670</v>
      </c>
      <c r="J79" s="10">
        <v>5410640</v>
      </c>
      <c r="K79" s="11">
        <v>-41.451070000000001</v>
      </c>
      <c r="L79" s="11">
        <v>145.95446000000001</v>
      </c>
      <c r="N79" s="8">
        <v>2</v>
      </c>
      <c r="O79" s="8">
        <v>2</v>
      </c>
      <c r="P79" s="8">
        <v>2</v>
      </c>
    </row>
    <row r="80" spans="1:16" x14ac:dyDescent="0.15">
      <c r="A80" s="7" t="s">
        <v>181</v>
      </c>
      <c r="B80" s="9" t="str">
        <f>VLOOKUP(D80,[1]TASMaps!$H$4:$K$269,3,FALSE)</f>
        <v>TK05</v>
      </c>
      <c r="C80" s="9" t="str">
        <f>VLOOKUP(D80,[1]TASMaps!$H$4:$K$269,4,FALSE)</f>
        <v>Black Bluff</v>
      </c>
      <c r="D80" s="9">
        <v>4040</v>
      </c>
      <c r="E80" s="9" t="s">
        <v>112</v>
      </c>
      <c r="F80" s="9" t="s">
        <v>30</v>
      </c>
      <c r="G80" s="9" t="s">
        <v>142</v>
      </c>
      <c r="H80" s="8" t="s">
        <v>20</v>
      </c>
      <c r="I80" s="10">
        <v>416730</v>
      </c>
      <c r="J80" s="10">
        <v>5409820</v>
      </c>
      <c r="K80" s="11">
        <v>-41.458889999999997</v>
      </c>
      <c r="L80" s="11">
        <v>146.00295</v>
      </c>
      <c r="N80" s="8" t="s">
        <v>37</v>
      </c>
      <c r="P80" s="8">
        <v>1</v>
      </c>
    </row>
    <row r="81" spans="1:16" x14ac:dyDescent="0.15">
      <c r="A81" s="7" t="s">
        <v>182</v>
      </c>
      <c r="B81" s="9" t="str">
        <f>VLOOKUP(D81,[1]TASMaps!$H$4:$K$269,3,FALSE)</f>
        <v>TK05</v>
      </c>
      <c r="C81" s="9" t="str">
        <f>VLOOKUP(D81,[1]TASMaps!$H$4:$K$269,4,FALSE)</f>
        <v>Black Bluff</v>
      </c>
      <c r="D81" s="9">
        <v>4040</v>
      </c>
      <c r="E81" s="9" t="s">
        <v>112</v>
      </c>
      <c r="F81" s="9" t="s">
        <v>30</v>
      </c>
      <c r="G81" s="9" t="s">
        <v>113</v>
      </c>
      <c r="H81" s="8" t="s">
        <v>20</v>
      </c>
      <c r="I81" s="10">
        <v>411220</v>
      </c>
      <c r="J81" s="10">
        <v>5409820</v>
      </c>
      <c r="K81" s="11">
        <v>-41.458300000000001</v>
      </c>
      <c r="L81" s="11">
        <v>145.93698000000001</v>
      </c>
      <c r="M81" s="8" t="s">
        <v>21</v>
      </c>
      <c r="N81" s="8" t="s">
        <v>37</v>
      </c>
      <c r="P81" s="8">
        <v>1</v>
      </c>
    </row>
    <row r="82" spans="1:16" x14ac:dyDescent="0.15">
      <c r="A82" s="7" t="s">
        <v>183</v>
      </c>
      <c r="B82" s="9" t="str">
        <f>VLOOKUP(D82,[1]TASMaps!$H$4:$K$269,3,FALSE)</f>
        <v>TM07</v>
      </c>
      <c r="C82" s="9" t="str">
        <f>VLOOKUP(D82,[1]TASMaps!$H$4:$K$269,4,FALSE)</f>
        <v>Penstock</v>
      </c>
      <c r="D82" s="9">
        <v>4834</v>
      </c>
      <c r="E82" s="9" t="s">
        <v>184</v>
      </c>
      <c r="F82" s="9" t="s">
        <v>104</v>
      </c>
      <c r="G82" s="9" t="s">
        <v>36</v>
      </c>
      <c r="H82" s="8" t="s">
        <v>20</v>
      </c>
      <c r="I82" s="10">
        <v>496760</v>
      </c>
      <c r="J82" s="10">
        <v>5345770</v>
      </c>
      <c r="K82" s="11">
        <v>-42.040109999999999</v>
      </c>
      <c r="L82" s="11">
        <v>146.96084999999999</v>
      </c>
      <c r="N82" s="8" t="s">
        <v>37</v>
      </c>
      <c r="P82" s="8">
        <v>1</v>
      </c>
    </row>
    <row r="83" spans="1:16" x14ac:dyDescent="0.15">
      <c r="A83" s="9" t="s">
        <v>185</v>
      </c>
      <c r="B83" s="9" t="str">
        <f>VLOOKUP(D83,[1]TASMaps!$H$4:$K$269,3,FALSE)</f>
        <v>TR09</v>
      </c>
      <c r="C83" s="9" t="str">
        <f>VLOOKUP(D83,[1]TASMaps!$H$4:$K$269,4,FALSE)</f>
        <v>Tasman Peninsula</v>
      </c>
      <c r="D83" s="9">
        <v>5521</v>
      </c>
      <c r="E83" s="9" t="s">
        <v>186</v>
      </c>
      <c r="F83" s="9" t="s">
        <v>30</v>
      </c>
      <c r="G83" s="9" t="s">
        <v>83</v>
      </c>
      <c r="H83" s="8" t="s">
        <v>20</v>
      </c>
      <c r="I83" s="10">
        <v>565640</v>
      </c>
      <c r="J83" s="10">
        <v>5218970</v>
      </c>
      <c r="K83" s="11">
        <v>-43.179189999999998</v>
      </c>
      <c r="L83" s="11">
        <v>147.80767</v>
      </c>
      <c r="N83" s="8" t="s">
        <v>37</v>
      </c>
      <c r="P83" s="8">
        <v>1</v>
      </c>
    </row>
    <row r="84" spans="1:16" x14ac:dyDescent="0.15">
      <c r="A84" s="9" t="s">
        <v>187</v>
      </c>
      <c r="B84" s="9" t="str">
        <f>VLOOKUP(D84,[1]TASMaps!$H$4:$K$269,3,FALSE)</f>
        <v>TP08</v>
      </c>
      <c r="C84" s="9" t="str">
        <f>VLOOKUP(D84,[1]TASMaps!$H$4:$K$269,4,FALSE)</f>
        <v>Green Ponds</v>
      </c>
      <c r="D84" s="9">
        <v>5229</v>
      </c>
      <c r="E84" s="9" t="s">
        <v>188</v>
      </c>
      <c r="F84" s="9" t="s">
        <v>23</v>
      </c>
      <c r="G84" s="9" t="s">
        <v>59</v>
      </c>
      <c r="H84" s="8" t="s">
        <v>20</v>
      </c>
      <c r="I84" s="10">
        <v>524740</v>
      </c>
      <c r="J84" s="10">
        <v>5291350</v>
      </c>
      <c r="K84" s="11">
        <v>-42.52984</v>
      </c>
      <c r="L84" s="11">
        <v>147.30124000000001</v>
      </c>
      <c r="N84" s="8" t="s">
        <v>37</v>
      </c>
      <c r="P84" s="8">
        <v>1</v>
      </c>
    </row>
    <row r="85" spans="1:16" x14ac:dyDescent="0.15">
      <c r="A85" s="7" t="s">
        <v>189</v>
      </c>
      <c r="B85" s="9" t="str">
        <f>VLOOKUP(D85,[1]TASMaps!$H$4:$K$269,3,FALSE)</f>
        <v>TK07</v>
      </c>
      <c r="C85" s="9" t="str">
        <f>VLOOKUP(D85,[1]TASMaps!$H$4:$K$269,4,FALSE)</f>
        <v>Meander Valley</v>
      </c>
      <c r="D85" s="9">
        <v>4841</v>
      </c>
      <c r="E85" s="9" t="s">
        <v>190</v>
      </c>
      <c r="F85" s="9" t="s">
        <v>18</v>
      </c>
      <c r="G85" s="9" t="s">
        <v>33</v>
      </c>
      <c r="H85" s="8" t="s">
        <v>20</v>
      </c>
      <c r="I85" s="10">
        <v>483460</v>
      </c>
      <c r="J85" s="10">
        <v>5417910</v>
      </c>
      <c r="K85" s="11">
        <v>-41.390169999999998</v>
      </c>
      <c r="L85" s="11">
        <v>146.80215999999999</v>
      </c>
      <c r="N85" s="8" t="s">
        <v>37</v>
      </c>
      <c r="P85" s="8">
        <v>1</v>
      </c>
    </row>
    <row r="86" spans="1:16" x14ac:dyDescent="0.15">
      <c r="A86" s="7" t="s">
        <v>191</v>
      </c>
      <c r="B86" s="9" t="str">
        <f>VLOOKUP(D86,[1]TASMaps!$H$4:$K$269,3,FALSE)</f>
        <v>TP08</v>
      </c>
      <c r="C86" s="9" t="str">
        <f>VLOOKUP(D86,[1]TASMaps!$H$4:$K$269,4,FALSE)</f>
        <v>Green Ponds</v>
      </c>
      <c r="D86" s="9">
        <v>5029</v>
      </c>
      <c r="E86" s="9" t="s">
        <v>192</v>
      </c>
      <c r="F86" s="9" t="s">
        <v>18</v>
      </c>
      <c r="G86" s="9" t="s">
        <v>59</v>
      </c>
      <c r="H86" s="8" t="s">
        <v>20</v>
      </c>
      <c r="I86" s="10">
        <v>507840</v>
      </c>
      <c r="J86" s="10">
        <v>5296960</v>
      </c>
      <c r="K86" s="11">
        <v>-42.479669999999999</v>
      </c>
      <c r="L86" s="11">
        <v>147.09539000000001</v>
      </c>
      <c r="N86" s="8" t="s">
        <v>37</v>
      </c>
      <c r="P86" s="8">
        <v>1</v>
      </c>
    </row>
    <row r="87" spans="1:16" x14ac:dyDescent="0.15">
      <c r="A87" s="7" t="s">
        <v>193</v>
      </c>
      <c r="B87" s="9" t="str">
        <f>VLOOKUP(D87,[1]TASMaps!$H$4:$K$269,3,FALSE)</f>
        <v>TL05</v>
      </c>
      <c r="C87" s="9" t="str">
        <f>VLOOKUP(D87,[1]TASMaps!$H$4:$K$269,4,FALSE)</f>
        <v>Murchison</v>
      </c>
      <c r="D87" s="9">
        <v>3837</v>
      </c>
      <c r="E87" s="9" t="s">
        <v>194</v>
      </c>
      <c r="F87" s="9" t="s">
        <v>30</v>
      </c>
      <c r="G87" s="9" t="s">
        <v>24</v>
      </c>
      <c r="H87" s="8" t="s">
        <v>20</v>
      </c>
      <c r="I87" s="10">
        <v>380650</v>
      </c>
      <c r="J87" s="10">
        <v>5375580</v>
      </c>
      <c r="K87" s="11">
        <v>-41.762639999999998</v>
      </c>
      <c r="L87" s="11">
        <v>145.56422000000001</v>
      </c>
      <c r="N87" s="8" t="s">
        <v>37</v>
      </c>
      <c r="O87" s="8">
        <v>1</v>
      </c>
      <c r="P87" s="8">
        <v>1</v>
      </c>
    </row>
    <row r="88" spans="1:16" x14ac:dyDescent="0.15">
      <c r="A88" s="7" t="s">
        <v>195</v>
      </c>
      <c r="B88" s="9" t="str">
        <f>VLOOKUP(D88,[1]TASMaps!$H$4:$K$269,3,FALSE)</f>
        <v>TK09</v>
      </c>
      <c r="C88" s="9" t="str">
        <f>VLOOKUP(D88,[1]TASMaps!$H$4:$K$269,4,FALSE)</f>
        <v>Ben Lomond</v>
      </c>
      <c r="D88" s="9">
        <v>5641</v>
      </c>
      <c r="E88" s="9" t="s">
        <v>196</v>
      </c>
      <c r="F88" s="9" t="s">
        <v>30</v>
      </c>
      <c r="G88" s="9" t="s">
        <v>44</v>
      </c>
      <c r="H88" s="8" t="s">
        <v>20</v>
      </c>
      <c r="I88" s="10">
        <v>573390</v>
      </c>
      <c r="J88" s="10">
        <v>5416280</v>
      </c>
      <c r="K88" s="11">
        <v>-41.401670000000003</v>
      </c>
      <c r="L88" s="11">
        <v>147.87798000000001</v>
      </c>
      <c r="N88" s="8" t="s">
        <v>37</v>
      </c>
      <c r="O88" s="8">
        <v>1</v>
      </c>
      <c r="P88" s="8">
        <v>1</v>
      </c>
    </row>
    <row r="89" spans="1:16" x14ac:dyDescent="0.15">
      <c r="A89" s="7" t="s">
        <v>197</v>
      </c>
      <c r="B89" s="9" t="str">
        <f>VLOOKUP(D89,[1]TASMaps!$H$4:$K$269,3,FALSE)</f>
        <v>TP07</v>
      </c>
      <c r="C89" s="9" t="str">
        <f>VLOOKUP(D89,[1]TASMaps!$H$4:$K$269,4,FALSE)</f>
        <v>Meadowbank</v>
      </c>
      <c r="D89" s="9">
        <v>4829</v>
      </c>
      <c r="E89" s="9" t="s">
        <v>198</v>
      </c>
      <c r="F89" s="9" t="s">
        <v>18</v>
      </c>
      <c r="G89" s="9" t="s">
        <v>36</v>
      </c>
      <c r="H89" s="8" t="s">
        <v>20</v>
      </c>
      <c r="I89" s="10">
        <v>497800</v>
      </c>
      <c r="J89" s="10">
        <v>5292900</v>
      </c>
      <c r="K89" s="11">
        <v>-42.516269999999999</v>
      </c>
      <c r="L89" s="11">
        <v>146.97322</v>
      </c>
      <c r="N89" s="8" t="s">
        <v>37</v>
      </c>
      <c r="P89" s="8">
        <v>1</v>
      </c>
    </row>
    <row r="90" spans="1:16" x14ac:dyDescent="0.15">
      <c r="A90" s="7" t="s">
        <v>199</v>
      </c>
      <c r="B90" s="9" t="str">
        <f>VLOOKUP(D90,[1]TASMaps!$H$4:$K$269,3,FALSE)</f>
        <v>TL07</v>
      </c>
      <c r="C90" s="9" t="str">
        <f>VLOOKUP(D90,[1]TASMaps!$H$4:$K$269,4,FALSE)</f>
        <v>Breton</v>
      </c>
      <c r="D90" s="9">
        <v>4837</v>
      </c>
      <c r="E90" s="9" t="s">
        <v>200</v>
      </c>
      <c r="F90" s="9" t="s">
        <v>30</v>
      </c>
      <c r="G90" s="9" t="s">
        <v>36</v>
      </c>
      <c r="H90" s="8" t="s">
        <v>20</v>
      </c>
      <c r="I90" s="10">
        <v>489840</v>
      </c>
      <c r="J90" s="10">
        <v>5370540</v>
      </c>
      <c r="K90" s="11">
        <v>-41.816949999999999</v>
      </c>
      <c r="L90" s="11">
        <v>146.87766999999999</v>
      </c>
      <c r="N90" s="8" t="s">
        <v>37</v>
      </c>
      <c r="O90" s="8">
        <v>1</v>
      </c>
      <c r="P90" s="8">
        <v>1</v>
      </c>
    </row>
    <row r="91" spans="1:16" x14ac:dyDescent="0.15">
      <c r="A91" s="7" t="s">
        <v>201</v>
      </c>
      <c r="B91" s="9" t="str">
        <f>VLOOKUP(D91,[1]TASMaps!$H$4:$K$269,3,FALSE)</f>
        <v>TL05</v>
      </c>
      <c r="C91" s="9" t="str">
        <f>VLOOKUP(D91,[1]TASMaps!$H$4:$K$269,4,FALSE)</f>
        <v>Murchison</v>
      </c>
      <c r="D91" s="9">
        <v>3838</v>
      </c>
      <c r="E91" s="9" t="s">
        <v>202</v>
      </c>
      <c r="F91" s="9" t="s">
        <v>30</v>
      </c>
      <c r="G91" s="9" t="s">
        <v>117</v>
      </c>
      <c r="H91" s="8" t="s">
        <v>20</v>
      </c>
      <c r="I91" s="10">
        <v>386790</v>
      </c>
      <c r="J91" s="10">
        <v>5387590</v>
      </c>
      <c r="K91" s="11">
        <v>-41.6554</v>
      </c>
      <c r="L91" s="11">
        <v>145.64035000000001</v>
      </c>
      <c r="N91" s="8" t="s">
        <v>37</v>
      </c>
      <c r="P91" s="8">
        <v>1</v>
      </c>
    </row>
    <row r="92" spans="1:16" x14ac:dyDescent="0.15">
      <c r="A92" s="7" t="s">
        <v>203</v>
      </c>
      <c r="B92" s="9" t="str">
        <f>VLOOKUP(D92,[1]TASMaps!$H$4:$K$269,3,FALSE)</f>
        <v>TN07</v>
      </c>
      <c r="C92" s="9" t="str">
        <f>VLOOKUP(D92,[1]TASMaps!$H$4:$K$269,4,FALSE)</f>
        <v>Victoria Valley</v>
      </c>
      <c r="D92" s="9">
        <v>4831</v>
      </c>
      <c r="E92" s="9" t="s">
        <v>204</v>
      </c>
      <c r="F92" s="9" t="s">
        <v>18</v>
      </c>
      <c r="G92" s="9" t="s">
        <v>36</v>
      </c>
      <c r="H92" s="8" t="s">
        <v>20</v>
      </c>
      <c r="I92" s="10">
        <v>488710</v>
      </c>
      <c r="J92" s="10">
        <v>5313330</v>
      </c>
      <c r="K92" s="11">
        <v>-42.3322</v>
      </c>
      <c r="L92" s="11">
        <v>146.86295999999999</v>
      </c>
      <c r="N92" s="8" t="s">
        <v>37</v>
      </c>
      <c r="P92" s="8">
        <v>1</v>
      </c>
    </row>
    <row r="93" spans="1:16" x14ac:dyDescent="0.15">
      <c r="A93" s="9" t="s">
        <v>205</v>
      </c>
      <c r="B93" s="9" t="str">
        <f>VLOOKUP(D93,[1]TASMaps!$H$4:$K$269,3,FALSE)</f>
        <v>TJ04</v>
      </c>
      <c r="C93" s="9" t="str">
        <f>VLOOKUP(D93,[1]TASMaps!$H$4:$K$269,4,FALSE)</f>
        <v>Rapid River</v>
      </c>
      <c r="D93" s="9">
        <v>3644</v>
      </c>
      <c r="E93" s="9" t="s">
        <v>206</v>
      </c>
      <c r="F93" s="9" t="s">
        <v>23</v>
      </c>
      <c r="G93" s="9" t="s">
        <v>107</v>
      </c>
      <c r="H93" s="8" t="s">
        <v>20</v>
      </c>
      <c r="I93" s="10">
        <v>362350</v>
      </c>
      <c r="J93" s="10">
        <v>5441270</v>
      </c>
      <c r="K93" s="11">
        <v>-41.168219999999998</v>
      </c>
      <c r="L93" s="11">
        <v>145.35914</v>
      </c>
      <c r="N93" s="8" t="s">
        <v>37</v>
      </c>
      <c r="P93" s="8">
        <v>1</v>
      </c>
    </row>
    <row r="94" spans="1:16" x14ac:dyDescent="0.15">
      <c r="A94" s="7" t="s">
        <v>207</v>
      </c>
      <c r="B94" s="9" t="str">
        <f>VLOOKUP(D94,[1]TASMaps!$H$4:$K$269,3,FALSE)</f>
        <v>TL06</v>
      </c>
      <c r="C94" s="9" t="str">
        <f>VLOOKUP(D94,[1]TASMaps!$H$4:$K$269,4,FALSE)</f>
        <v>Jerusalem</v>
      </c>
      <c r="D94" s="9">
        <v>4438</v>
      </c>
      <c r="E94" s="9" t="s">
        <v>124</v>
      </c>
      <c r="F94" s="9" t="s">
        <v>23</v>
      </c>
      <c r="G94" s="9" t="s">
        <v>33</v>
      </c>
      <c r="H94" s="8" t="s">
        <v>20</v>
      </c>
      <c r="I94" s="10">
        <v>447890</v>
      </c>
      <c r="J94" s="10">
        <v>5381640</v>
      </c>
      <c r="K94" s="11">
        <v>-41.715330000000002</v>
      </c>
      <c r="L94" s="11">
        <v>146.37357</v>
      </c>
      <c r="N94" s="8" t="s">
        <v>37</v>
      </c>
      <c r="O94" s="8">
        <v>1</v>
      </c>
      <c r="P94" s="8">
        <v>1</v>
      </c>
    </row>
    <row r="95" spans="1:16" x14ac:dyDescent="0.15">
      <c r="A95" s="7" t="s">
        <v>208</v>
      </c>
      <c r="B95" s="9" t="str">
        <f>VLOOKUP(D95,[1]TASMaps!$H$4:$K$269,3,FALSE)</f>
        <v>TJ08</v>
      </c>
      <c r="C95" s="9" t="str">
        <f>VLOOKUP(D95,[1]TASMaps!$H$4:$K$269,4,FALSE)</f>
        <v>Sideling</v>
      </c>
      <c r="D95" s="9">
        <v>5244</v>
      </c>
      <c r="E95" s="9" t="s">
        <v>209</v>
      </c>
      <c r="F95" s="9" t="s">
        <v>30</v>
      </c>
      <c r="G95" s="9" t="s">
        <v>210</v>
      </c>
      <c r="H95" s="8" t="s">
        <v>20</v>
      </c>
      <c r="I95" s="10">
        <v>534190</v>
      </c>
      <c r="J95" s="10">
        <v>5440220</v>
      </c>
      <c r="K95" s="11">
        <v>-41.188650000000003</v>
      </c>
      <c r="L95" s="11">
        <v>147.40770000000001</v>
      </c>
      <c r="N95" s="8" t="s">
        <v>37</v>
      </c>
      <c r="P95" s="8">
        <v>1</v>
      </c>
    </row>
    <row r="96" spans="1:16" x14ac:dyDescent="0.15">
      <c r="A96" s="7" t="s">
        <v>211</v>
      </c>
      <c r="B96" s="9" t="str">
        <f>VLOOKUP(D96,[1]TASMaps!$H$4:$K$269,3,FALSE)</f>
        <v>TS07</v>
      </c>
      <c r="C96" s="9" t="str">
        <f>VLOOKUP(D96,[1]TASMaps!$H$4:$K$269,4,FALSE)</f>
        <v>Adamsons</v>
      </c>
      <c r="D96" s="9">
        <v>4620</v>
      </c>
      <c r="E96" s="9" t="s">
        <v>212</v>
      </c>
      <c r="F96" s="9" t="s">
        <v>18</v>
      </c>
      <c r="G96" s="9" t="s">
        <v>27</v>
      </c>
      <c r="H96" s="8" t="s">
        <v>20</v>
      </c>
      <c r="I96" s="10">
        <v>467920</v>
      </c>
      <c r="J96" s="10">
        <v>5202650</v>
      </c>
      <c r="K96" s="11">
        <v>-43.328310000000002</v>
      </c>
      <c r="L96" s="11">
        <v>146.60431</v>
      </c>
      <c r="N96" s="8" t="s">
        <v>37</v>
      </c>
      <c r="O96" s="8">
        <v>1</v>
      </c>
      <c r="P96" s="8">
        <v>1</v>
      </c>
    </row>
    <row r="97" spans="1:16" x14ac:dyDescent="0.15">
      <c r="A97" s="7" t="s">
        <v>213</v>
      </c>
      <c r="B97" s="9" t="str">
        <f>VLOOKUP(D97,[1]TASMaps!$H$4:$K$269,3,FALSE)</f>
        <v>TS07</v>
      </c>
      <c r="C97" s="9" t="str">
        <f>VLOOKUP(D97,[1]TASMaps!$H$4:$K$269,4,FALSE)</f>
        <v>Adamsons</v>
      </c>
      <c r="D97" s="9">
        <v>4620</v>
      </c>
      <c r="E97" s="9" t="s">
        <v>212</v>
      </c>
      <c r="F97" s="9" t="s">
        <v>30</v>
      </c>
      <c r="G97" s="9" t="s">
        <v>27</v>
      </c>
      <c r="H97" s="8" t="s">
        <v>20</v>
      </c>
      <c r="I97" s="10">
        <v>467300</v>
      </c>
      <c r="J97" s="10">
        <v>5206390</v>
      </c>
      <c r="K97" s="11">
        <v>-43.294609999999999</v>
      </c>
      <c r="L97" s="11">
        <v>146.59688</v>
      </c>
      <c r="M97" s="8" t="s">
        <v>21</v>
      </c>
      <c r="N97" s="8">
        <v>5</v>
      </c>
      <c r="O97" s="8">
        <v>5</v>
      </c>
      <c r="P97" s="8">
        <v>6</v>
      </c>
    </row>
    <row r="98" spans="1:16" x14ac:dyDescent="0.15">
      <c r="A98" s="7" t="s">
        <v>214</v>
      </c>
      <c r="B98" s="9" t="str">
        <f>VLOOKUP(D98,[1]TASMaps!$H$4:$K$269,3,FALSE)</f>
        <v>TR06</v>
      </c>
      <c r="C98" s="9" t="str">
        <f>VLOOKUP(D98,[1]TASMaps!$H$4:$K$269,4,FALSE)</f>
        <v>Western Arthur</v>
      </c>
      <c r="D98" s="9">
        <v>4421</v>
      </c>
      <c r="E98" s="9" t="s">
        <v>46</v>
      </c>
      <c r="F98" s="9" t="s">
        <v>18</v>
      </c>
      <c r="G98" s="9" t="s">
        <v>27</v>
      </c>
      <c r="H98" s="8" t="s">
        <v>20</v>
      </c>
      <c r="I98" s="10">
        <v>455480</v>
      </c>
      <c r="J98" s="10">
        <v>5214260</v>
      </c>
      <c r="K98" s="11">
        <v>-43.223140000000001</v>
      </c>
      <c r="L98" s="11">
        <v>146.45180999999999</v>
      </c>
      <c r="N98" s="8" t="s">
        <v>37</v>
      </c>
      <c r="P98" s="8">
        <v>1</v>
      </c>
    </row>
    <row r="99" spans="1:16" x14ac:dyDescent="0.15">
      <c r="A99" s="9" t="s">
        <v>215</v>
      </c>
      <c r="B99" s="9" t="str">
        <f>VLOOKUP(D99,[1]TASMaps!$H$4:$K$269,3,FALSE)</f>
        <v>TK03</v>
      </c>
      <c r="C99" s="9" t="str">
        <f>VLOOKUP(D99,[1]TASMaps!$H$4:$K$269,4,FALSE)</f>
        <v>Norfolk Range</v>
      </c>
      <c r="D99" s="9">
        <v>3241</v>
      </c>
      <c r="E99" s="9" t="s">
        <v>216</v>
      </c>
      <c r="F99" s="9" t="s">
        <v>30</v>
      </c>
      <c r="G99" s="9" t="s">
        <v>107</v>
      </c>
      <c r="H99" s="8" t="s">
        <v>20</v>
      </c>
      <c r="I99" s="10">
        <v>338770</v>
      </c>
      <c r="J99" s="10">
        <v>5411760</v>
      </c>
      <c r="K99" s="11">
        <v>-41.429540000000003</v>
      </c>
      <c r="L99" s="11">
        <v>145.07038</v>
      </c>
      <c r="N99" s="8" t="s">
        <v>37</v>
      </c>
      <c r="P99" s="8">
        <v>1</v>
      </c>
    </row>
    <row r="100" spans="1:16" x14ac:dyDescent="0.15">
      <c r="A100" s="7" t="s">
        <v>217</v>
      </c>
      <c r="B100" s="9" t="str">
        <f>VLOOKUP(D100,[1]TASMaps!$H$4:$K$269,3,FALSE)</f>
        <v>TP06</v>
      </c>
      <c r="C100" s="9" t="str">
        <f>VLOOKUP(D100,[1]TASMaps!$H$4:$K$269,4,FALSE)</f>
        <v>Denison Range</v>
      </c>
      <c r="D100" s="9">
        <v>4429</v>
      </c>
      <c r="E100" s="9" t="s">
        <v>218</v>
      </c>
      <c r="F100" s="9" t="s">
        <v>30</v>
      </c>
      <c r="G100" s="9" t="s">
        <v>36</v>
      </c>
      <c r="H100" s="8" t="s">
        <v>20</v>
      </c>
      <c r="I100" s="10">
        <v>440750</v>
      </c>
      <c r="J100" s="10">
        <v>5290680</v>
      </c>
      <c r="K100" s="11">
        <v>-42.533990000000003</v>
      </c>
      <c r="L100" s="11">
        <v>146.27851000000001</v>
      </c>
      <c r="M100" s="8" t="s">
        <v>21</v>
      </c>
      <c r="N100" s="8">
        <v>3</v>
      </c>
      <c r="O100" s="8">
        <v>3</v>
      </c>
      <c r="P100" s="8">
        <v>3</v>
      </c>
    </row>
    <row r="101" spans="1:16" x14ac:dyDescent="0.15">
      <c r="A101" s="7" t="s">
        <v>219</v>
      </c>
      <c r="B101" s="9" t="str">
        <f>VLOOKUP(D101,[1]TASMaps!$H$4:$K$269,3,FALSE)</f>
        <v>TK05</v>
      </c>
      <c r="C101" s="9" t="str">
        <f>VLOOKUP(D101,[1]TASMaps!$H$4:$K$269,4,FALSE)</f>
        <v>Black Bluff</v>
      </c>
      <c r="D101" s="9">
        <v>4040</v>
      </c>
      <c r="E101" s="9" t="s">
        <v>112</v>
      </c>
      <c r="F101" s="9" t="s">
        <v>18</v>
      </c>
      <c r="G101" s="9" t="s">
        <v>142</v>
      </c>
      <c r="H101" s="8" t="s">
        <v>20</v>
      </c>
      <c r="I101" s="10">
        <v>410710</v>
      </c>
      <c r="J101" s="10">
        <v>5401670</v>
      </c>
      <c r="K101" s="11">
        <v>-41.531640000000003</v>
      </c>
      <c r="L101" s="11">
        <v>145.92966999999999</v>
      </c>
      <c r="N101" s="8" t="s">
        <v>37</v>
      </c>
      <c r="P101" s="8">
        <v>1</v>
      </c>
    </row>
    <row r="102" spans="1:16" x14ac:dyDescent="0.15">
      <c r="A102" s="7" t="s">
        <v>220</v>
      </c>
      <c r="B102" s="9" t="str">
        <f>VLOOKUP(D102,[1]TASMaps!$H$4:$K$269,3,FALSE)</f>
        <v>TS07</v>
      </c>
      <c r="C102" s="9" t="str">
        <f>VLOOKUP(D102,[1]TASMaps!$H$4:$K$269,4,FALSE)</f>
        <v>Adamsons</v>
      </c>
      <c r="D102" s="9">
        <v>4620</v>
      </c>
      <c r="E102" s="9" t="s">
        <v>212</v>
      </c>
      <c r="F102" s="9" t="s">
        <v>30</v>
      </c>
      <c r="G102" s="9" t="s">
        <v>27</v>
      </c>
      <c r="H102" s="8" t="s">
        <v>20</v>
      </c>
      <c r="I102" s="10">
        <v>468750</v>
      </c>
      <c r="J102" s="10">
        <v>5205915</v>
      </c>
      <c r="K102" s="11">
        <v>-43.298940000000002</v>
      </c>
      <c r="L102" s="11">
        <v>146.61473000000001</v>
      </c>
      <c r="N102" s="8" t="s">
        <v>37</v>
      </c>
      <c r="O102" s="8">
        <v>2</v>
      </c>
      <c r="P102" s="8">
        <v>2</v>
      </c>
    </row>
    <row r="103" spans="1:16" x14ac:dyDescent="0.15">
      <c r="A103" s="9" t="s">
        <v>221</v>
      </c>
      <c r="B103" s="9" t="str">
        <f>VLOOKUP(D103,[1]TASMaps!$H$4:$K$269,3,FALSE)</f>
        <v>TS08</v>
      </c>
      <c r="C103" s="9" t="str">
        <f>VLOOKUP(D103,[1]TASMaps!$H$4:$K$269,4,FALSE)</f>
        <v>South Bruny</v>
      </c>
      <c r="D103" s="9">
        <v>5220</v>
      </c>
      <c r="E103" s="9" t="s">
        <v>222</v>
      </c>
      <c r="F103" s="9" t="s">
        <v>30</v>
      </c>
      <c r="G103" s="9" t="s">
        <v>110</v>
      </c>
      <c r="H103" s="8" t="s">
        <v>20</v>
      </c>
      <c r="I103" s="10">
        <v>522470</v>
      </c>
      <c r="J103" s="10">
        <v>5200170</v>
      </c>
      <c r="K103" s="11">
        <v>-43.350990000000003</v>
      </c>
      <c r="L103" s="11">
        <v>147.27726000000001</v>
      </c>
      <c r="N103" s="8" t="s">
        <v>37</v>
      </c>
      <c r="P103" s="8">
        <v>1</v>
      </c>
    </row>
    <row r="104" spans="1:16" x14ac:dyDescent="0.15">
      <c r="A104" s="7" t="s">
        <v>223</v>
      </c>
      <c r="B104" s="9" t="str">
        <f>VLOOKUP(D104,[1]TASMaps!$H$4:$K$269,3,FALSE)</f>
        <v>TQ06</v>
      </c>
      <c r="C104" s="9" t="str">
        <f>VLOOKUP(D104,[1]TASMaps!$H$4:$K$269,4,FALSE)</f>
        <v>Lake Pedder</v>
      </c>
      <c r="D104" s="9">
        <v>4425</v>
      </c>
      <c r="E104" s="9" t="s">
        <v>224</v>
      </c>
      <c r="F104" s="9" t="s">
        <v>30</v>
      </c>
      <c r="G104" s="9" t="s">
        <v>19</v>
      </c>
      <c r="H104" s="8" t="s">
        <v>20</v>
      </c>
      <c r="I104" s="10">
        <v>451710</v>
      </c>
      <c r="J104" s="10">
        <v>5255080</v>
      </c>
      <c r="K104" s="11">
        <v>-42.855339999999998</v>
      </c>
      <c r="L104" s="11">
        <v>146.40893</v>
      </c>
      <c r="N104" s="8" t="s">
        <v>37</v>
      </c>
      <c r="O104" s="8">
        <v>2</v>
      </c>
      <c r="P104" s="8">
        <v>2</v>
      </c>
    </row>
    <row r="105" spans="1:16" x14ac:dyDescent="0.15">
      <c r="A105" s="7" t="s">
        <v>225</v>
      </c>
      <c r="B105" s="9" t="str">
        <f>VLOOKUP(D105,[1]TASMaps!$H$4:$K$269,3,FALSE)</f>
        <v>TR06</v>
      </c>
      <c r="C105" s="9" t="str">
        <f>VLOOKUP(D105,[1]TASMaps!$H$4:$K$269,4,FALSE)</f>
        <v>Western Arthur</v>
      </c>
      <c r="D105" s="9">
        <v>4221</v>
      </c>
      <c r="E105" s="9" t="s">
        <v>226</v>
      </c>
      <c r="F105" s="9" t="s">
        <v>30</v>
      </c>
      <c r="G105" s="9" t="s">
        <v>27</v>
      </c>
      <c r="H105" s="8" t="s">
        <v>20</v>
      </c>
      <c r="I105" s="10">
        <v>430840</v>
      </c>
      <c r="J105" s="10">
        <v>5218590</v>
      </c>
      <c r="K105" s="11">
        <v>-43.182290000000002</v>
      </c>
      <c r="L105" s="11">
        <v>146.14897999999999</v>
      </c>
      <c r="N105" s="8" t="s">
        <v>37</v>
      </c>
      <c r="O105" s="8">
        <v>3</v>
      </c>
      <c r="P105" s="8">
        <v>2</v>
      </c>
    </row>
    <row r="106" spans="1:16" x14ac:dyDescent="0.15">
      <c r="A106" s="7" t="s">
        <v>168</v>
      </c>
      <c r="B106" s="9" t="str">
        <f>VLOOKUP(D106,[1]TASMaps!$H$4:$K$269,3,FALSE)</f>
        <v>TL07</v>
      </c>
      <c r="C106" s="9" t="str">
        <f>VLOOKUP(D106,[1]TASMaps!$H$4:$K$269,4,FALSE)</f>
        <v>Breton</v>
      </c>
      <c r="D106" s="9">
        <v>4836</v>
      </c>
      <c r="E106" s="9" t="s">
        <v>168</v>
      </c>
      <c r="F106" s="9" t="s">
        <v>227</v>
      </c>
      <c r="G106" s="9" t="s">
        <v>36</v>
      </c>
      <c r="H106" s="8" t="s">
        <v>20</v>
      </c>
      <c r="I106" s="10">
        <v>493270</v>
      </c>
      <c r="J106" s="10">
        <v>5367600</v>
      </c>
      <c r="K106" s="11">
        <v>-41.843470000000003</v>
      </c>
      <c r="L106" s="11">
        <v>146.91893999999999</v>
      </c>
      <c r="N106" s="8" t="s">
        <v>37</v>
      </c>
      <c r="O106" s="8">
        <v>1</v>
      </c>
      <c r="P106" s="8">
        <v>1</v>
      </c>
    </row>
    <row r="107" spans="1:16" x14ac:dyDescent="0.15">
      <c r="A107" s="7" t="s">
        <v>228</v>
      </c>
      <c r="B107" s="9" t="str">
        <f>VLOOKUP(D107,[1]TASMaps!$H$4:$K$269,3,FALSE)</f>
        <v>TN07</v>
      </c>
      <c r="C107" s="9" t="str">
        <f>VLOOKUP(D107,[1]TASMaps!$H$4:$K$269,4,FALSE)</f>
        <v>Victoria Valley</v>
      </c>
      <c r="D107" s="9">
        <v>4632</v>
      </c>
      <c r="E107" s="9" t="s">
        <v>229</v>
      </c>
      <c r="F107" s="9" t="s">
        <v>18</v>
      </c>
      <c r="G107" s="9" t="s">
        <v>36</v>
      </c>
      <c r="H107" s="8" t="s">
        <v>20</v>
      </c>
      <c r="I107" s="10">
        <v>461270</v>
      </c>
      <c r="J107" s="10">
        <v>5321420</v>
      </c>
      <c r="K107" s="11">
        <v>-42.258459999999999</v>
      </c>
      <c r="L107" s="11">
        <v>146.53044</v>
      </c>
      <c r="N107" s="8" t="s">
        <v>37</v>
      </c>
      <c r="O107" s="8">
        <v>1</v>
      </c>
      <c r="P107" s="8">
        <v>1</v>
      </c>
    </row>
    <row r="108" spans="1:16" x14ac:dyDescent="0.15">
      <c r="A108" s="7" t="s">
        <v>230</v>
      </c>
      <c r="B108" s="9" t="str">
        <f>VLOOKUP(D108,[1]TASMaps!$H$4:$K$269,3,FALSE)</f>
        <v>TK06</v>
      </c>
      <c r="C108" s="9" t="str">
        <f>VLOOKUP(D108,[1]TASMaps!$H$4:$K$269,4,FALSE)</f>
        <v>Fossey Mountains</v>
      </c>
      <c r="D108" s="9">
        <v>4240</v>
      </c>
      <c r="E108" s="9" t="s">
        <v>141</v>
      </c>
      <c r="F108" s="9" t="s">
        <v>18</v>
      </c>
      <c r="G108" s="9" t="s">
        <v>142</v>
      </c>
      <c r="H108" s="8" t="s">
        <v>20</v>
      </c>
      <c r="I108" s="10">
        <v>430600</v>
      </c>
      <c r="J108" s="10">
        <v>5405870</v>
      </c>
      <c r="K108" s="11">
        <v>-41.49579</v>
      </c>
      <c r="L108" s="11">
        <v>146.16855000000001</v>
      </c>
      <c r="N108" s="8" t="s">
        <v>37</v>
      </c>
      <c r="P108" s="8">
        <v>1</v>
      </c>
    </row>
    <row r="109" spans="1:16" x14ac:dyDescent="0.15">
      <c r="A109" s="7" t="s">
        <v>231</v>
      </c>
      <c r="B109" s="9" t="str">
        <f>VLOOKUP(D109,[1]TASMaps!$H$4:$K$269,3,FALSE)</f>
        <v>TL05</v>
      </c>
      <c r="C109" s="9" t="str">
        <f>VLOOKUP(D109,[1]TASMaps!$H$4:$K$269,4,FALSE)</f>
        <v>Murchison</v>
      </c>
      <c r="D109" s="9">
        <v>4038</v>
      </c>
      <c r="E109" s="9" t="s">
        <v>90</v>
      </c>
      <c r="F109" s="9" t="s">
        <v>18</v>
      </c>
      <c r="G109" s="9" t="s">
        <v>24</v>
      </c>
      <c r="H109" s="8" t="s">
        <v>20</v>
      </c>
      <c r="I109" s="10">
        <v>409430</v>
      </c>
      <c r="J109" s="10">
        <v>5388940</v>
      </c>
      <c r="K109" s="11">
        <v>-41.646140000000003</v>
      </c>
      <c r="L109" s="11">
        <v>145.91239999999999</v>
      </c>
      <c r="M109" s="8" t="s">
        <v>21</v>
      </c>
      <c r="N109" s="8" t="s">
        <v>37</v>
      </c>
      <c r="P109" s="8">
        <v>1</v>
      </c>
    </row>
    <row r="110" spans="1:16" x14ac:dyDescent="0.15">
      <c r="A110" s="7" t="s">
        <v>232</v>
      </c>
      <c r="B110" s="9" t="str">
        <f>VLOOKUP(D110,[1]TASMaps!$H$4:$K$269,3,FALSE)</f>
        <v>TP07</v>
      </c>
      <c r="C110" s="9" t="str">
        <f>VLOOKUP(D110,[1]TASMaps!$H$4:$K$269,4,FALSE)</f>
        <v>Meadowbank</v>
      </c>
      <c r="D110" s="9">
        <v>4627</v>
      </c>
      <c r="E110" s="9" t="s">
        <v>233</v>
      </c>
      <c r="F110" s="9" t="s">
        <v>30</v>
      </c>
      <c r="G110" s="9" t="s">
        <v>19</v>
      </c>
      <c r="H110" s="8" t="s">
        <v>20</v>
      </c>
      <c r="I110" s="10">
        <v>465520</v>
      </c>
      <c r="J110" s="10">
        <v>5276100</v>
      </c>
      <c r="K110" s="11">
        <v>-42.666800000000002</v>
      </c>
      <c r="L110" s="11">
        <v>146.57924</v>
      </c>
      <c r="N110" s="8" t="s">
        <v>37</v>
      </c>
      <c r="P110" s="8">
        <v>1</v>
      </c>
    </row>
    <row r="111" spans="1:16" x14ac:dyDescent="0.15">
      <c r="A111" s="9" t="s">
        <v>234</v>
      </c>
      <c r="B111" s="9" t="str">
        <f>VLOOKUP(D111,[1]TASMaps!$H$4:$K$269,3,FALSE)</f>
        <v>TN05</v>
      </c>
      <c r="C111" s="9" t="str">
        <f>VLOOKUP(D111,[1]TASMaps!$H$4:$K$269,4,FALSE)</f>
        <v>Frenchmans</v>
      </c>
      <c r="D111" s="9">
        <v>3832</v>
      </c>
      <c r="E111" s="9" t="s">
        <v>235</v>
      </c>
      <c r="F111" s="9" t="s">
        <v>30</v>
      </c>
      <c r="G111" s="9" t="s">
        <v>24</v>
      </c>
      <c r="H111" s="8" t="s">
        <v>20</v>
      </c>
      <c r="I111" s="10">
        <v>392160</v>
      </c>
      <c r="J111" s="10">
        <v>5322340</v>
      </c>
      <c r="K111" s="11">
        <v>-42.243679999999998</v>
      </c>
      <c r="L111" s="11">
        <v>145.69287</v>
      </c>
      <c r="N111" s="8" t="s">
        <v>37</v>
      </c>
      <c r="P111" s="8">
        <v>1</v>
      </c>
    </row>
    <row r="112" spans="1:16" x14ac:dyDescent="0.15">
      <c r="A112" s="7" t="s">
        <v>236</v>
      </c>
      <c r="B112" s="9" t="str">
        <f>VLOOKUP(D112,[1]TASMaps!$H$4:$K$269,3,FALSE)</f>
        <v>TS06</v>
      </c>
      <c r="C112" s="9" t="str">
        <f>VLOOKUP(D112,[1]TASMaps!$H$4:$K$269,4,FALSE)</f>
        <v>Bathurst</v>
      </c>
      <c r="D112" s="9">
        <v>4218</v>
      </c>
      <c r="E112" s="9" t="s">
        <v>237</v>
      </c>
      <c r="F112" s="9" t="s">
        <v>30</v>
      </c>
      <c r="G112" s="9" t="s">
        <v>27</v>
      </c>
      <c r="H112" s="8" t="s">
        <v>20</v>
      </c>
      <c r="I112" s="10">
        <v>427220</v>
      </c>
      <c r="J112" s="10">
        <v>5189320</v>
      </c>
      <c r="K112" s="11">
        <v>-43.445489999999999</v>
      </c>
      <c r="L112" s="11">
        <v>146.10056</v>
      </c>
      <c r="N112" s="8" t="s">
        <v>37</v>
      </c>
      <c r="O112" s="8">
        <v>1</v>
      </c>
      <c r="P112" s="8">
        <v>1</v>
      </c>
    </row>
    <row r="113" spans="1:16" x14ac:dyDescent="0.15">
      <c r="A113" s="9" t="s">
        <v>238</v>
      </c>
      <c r="B113" s="9" t="str">
        <f>VLOOKUP(D113,[1]TASMaps!$H$4:$K$269,3,FALSE)</f>
        <v>TK09</v>
      </c>
      <c r="C113" s="9" t="str">
        <f>VLOOKUP(D113,[1]TASMaps!$H$4:$K$269,4,FALSE)</f>
        <v>Ben Lomond</v>
      </c>
      <c r="D113" s="9">
        <v>5639</v>
      </c>
      <c r="E113" s="9" t="s">
        <v>155</v>
      </c>
      <c r="F113" s="9" t="s">
        <v>30</v>
      </c>
      <c r="G113" s="9" t="s">
        <v>78</v>
      </c>
      <c r="H113" s="8" t="s">
        <v>20</v>
      </c>
      <c r="I113" s="10">
        <v>562500</v>
      </c>
      <c r="J113" s="10">
        <v>5394310</v>
      </c>
      <c r="K113" s="11">
        <v>-41.600470000000001</v>
      </c>
      <c r="L113" s="11">
        <v>147.74999</v>
      </c>
      <c r="N113" s="8" t="s">
        <v>37</v>
      </c>
      <c r="P113" s="8">
        <v>1</v>
      </c>
    </row>
    <row r="114" spans="1:16" x14ac:dyDescent="0.15">
      <c r="A114" s="9" t="s">
        <v>239</v>
      </c>
      <c r="B114" s="9" t="str">
        <f>VLOOKUP(D114,[1]TASMaps!$H$4:$K$269,3,FALSE)</f>
        <v>TN05</v>
      </c>
      <c r="C114" s="9" t="str">
        <f>VLOOKUP(D114,[1]TASMaps!$H$4:$K$269,4,FALSE)</f>
        <v>Frenchmans</v>
      </c>
      <c r="D114" s="9">
        <v>4032</v>
      </c>
      <c r="E114" s="9" t="s">
        <v>56</v>
      </c>
      <c r="F114" s="9" t="s">
        <v>30</v>
      </c>
      <c r="G114" s="9" t="s">
        <v>24</v>
      </c>
      <c r="H114" s="8" t="s">
        <v>20</v>
      </c>
      <c r="I114" s="10">
        <v>408840</v>
      </c>
      <c r="J114" s="10">
        <v>5320740</v>
      </c>
      <c r="K114" s="11">
        <v>-42.260219999999997</v>
      </c>
      <c r="L114" s="11">
        <v>145.89475999999999</v>
      </c>
      <c r="N114" s="8" t="s">
        <v>37</v>
      </c>
      <c r="P114" s="8">
        <v>1</v>
      </c>
    </row>
    <row r="115" spans="1:16" x14ac:dyDescent="0.15">
      <c r="A115" s="7" t="s">
        <v>239</v>
      </c>
      <c r="B115" s="9" t="str">
        <f>VLOOKUP(D115,[1]TASMaps!$H$4:$K$269,3,FALSE)</f>
        <v>TP07</v>
      </c>
      <c r="C115" s="9" t="str">
        <f>VLOOKUP(D115,[1]TASMaps!$H$4:$K$269,4,FALSE)</f>
        <v>Meadowbank</v>
      </c>
      <c r="D115" s="9">
        <v>4628</v>
      </c>
      <c r="E115" s="9" t="s">
        <v>240</v>
      </c>
      <c r="F115" s="9" t="s">
        <v>30</v>
      </c>
      <c r="G115" s="9" t="s">
        <v>36</v>
      </c>
      <c r="H115" s="8" t="s">
        <v>20</v>
      </c>
      <c r="I115" s="10">
        <v>470710</v>
      </c>
      <c r="J115" s="10">
        <v>5284420</v>
      </c>
      <c r="K115" s="11">
        <v>-42.592089999999999</v>
      </c>
      <c r="L115" s="11">
        <v>146.643</v>
      </c>
      <c r="N115" s="8" t="s">
        <v>37</v>
      </c>
      <c r="O115" s="8">
        <v>1</v>
      </c>
      <c r="P115" s="8">
        <v>1</v>
      </c>
    </row>
    <row r="116" spans="1:16" x14ac:dyDescent="0.15">
      <c r="A116" s="7" t="s">
        <v>239</v>
      </c>
      <c r="B116" s="9" t="str">
        <f>VLOOKUP(D116,[1]TASMaps!$H$4:$K$269,3,FALSE)</f>
        <v>TP09</v>
      </c>
      <c r="C116" s="9" t="str">
        <f>VLOOKUP(D116,[1]TASMaps!$H$4:$K$269,4,FALSE)</f>
        <v>Prosser</v>
      </c>
      <c r="D116" s="9">
        <v>5428</v>
      </c>
      <c r="E116" s="9" t="s">
        <v>241</v>
      </c>
      <c r="F116" s="9" t="s">
        <v>30</v>
      </c>
      <c r="G116" s="9" t="s">
        <v>59</v>
      </c>
      <c r="H116" s="8" t="s">
        <v>20</v>
      </c>
      <c r="I116" s="10">
        <v>543170</v>
      </c>
      <c r="J116" s="10">
        <v>5283670</v>
      </c>
      <c r="K116" s="11">
        <v>-42.598190000000002</v>
      </c>
      <c r="L116" s="11">
        <v>147.52622</v>
      </c>
      <c r="N116" s="8" t="s">
        <v>37</v>
      </c>
      <c r="O116" s="8">
        <v>1</v>
      </c>
      <c r="P116" s="8">
        <v>1</v>
      </c>
    </row>
    <row r="117" spans="1:16" x14ac:dyDescent="0.15">
      <c r="A117" s="9" t="s">
        <v>242</v>
      </c>
      <c r="B117" s="9" t="str">
        <f>VLOOKUP(D117,[1]TASMaps!$H$4:$K$269,3,FALSE)</f>
        <v>TN09</v>
      </c>
      <c r="C117" s="9" t="str">
        <f>VLOOKUP(D117,[1]TASMaps!$H$4:$K$269,4,FALSE)</f>
        <v>Swanston</v>
      </c>
      <c r="D117" s="9">
        <v>5432</v>
      </c>
      <c r="E117" s="9" t="s">
        <v>243</v>
      </c>
      <c r="F117" s="9" t="s">
        <v>30</v>
      </c>
      <c r="G117" s="9" t="s">
        <v>59</v>
      </c>
      <c r="H117" s="8" t="s">
        <v>20</v>
      </c>
      <c r="I117" s="10">
        <v>545030</v>
      </c>
      <c r="J117" s="10">
        <v>5329990</v>
      </c>
      <c r="K117" s="11">
        <v>-42.18094</v>
      </c>
      <c r="L117" s="11">
        <v>147.54526999999999</v>
      </c>
      <c r="N117" s="8" t="s">
        <v>37</v>
      </c>
      <c r="P117" s="8">
        <v>1</v>
      </c>
    </row>
    <row r="118" spans="1:16" x14ac:dyDescent="0.15">
      <c r="A118" s="9" t="s">
        <v>244</v>
      </c>
      <c r="B118" s="9" t="str">
        <f>VLOOKUP(D118,[1]TASMaps!$H$4:$K$269,3,FALSE)</f>
        <v>TS08</v>
      </c>
      <c r="C118" s="9" t="str">
        <f>VLOOKUP(D118,[1]TASMaps!$H$4:$K$269,4,FALSE)</f>
        <v>South Bruny</v>
      </c>
      <c r="D118" s="9">
        <v>5118</v>
      </c>
      <c r="E118" s="9" t="s">
        <v>245</v>
      </c>
      <c r="F118" s="9" t="s">
        <v>30</v>
      </c>
      <c r="G118" s="9" t="s">
        <v>110</v>
      </c>
      <c r="H118" s="8" t="s">
        <v>20</v>
      </c>
      <c r="I118" s="10">
        <v>523480</v>
      </c>
      <c r="J118" s="10">
        <v>5185820</v>
      </c>
      <c r="K118" s="11">
        <v>-43.480170000000001</v>
      </c>
      <c r="L118" s="11">
        <v>147.29033999999999</v>
      </c>
      <c r="N118" s="8" t="s">
        <v>37</v>
      </c>
      <c r="P118" s="8">
        <v>1</v>
      </c>
    </row>
    <row r="119" spans="1:16" x14ac:dyDescent="0.15">
      <c r="A119" s="7" t="s">
        <v>246</v>
      </c>
      <c r="B119" s="9" t="str">
        <f>VLOOKUP(D119,[1]TASMaps!$H$4:$K$269,3,FALSE)</f>
        <v>TR07</v>
      </c>
      <c r="C119" s="9" t="str">
        <f>VLOOKUP(D119,[1]TASMaps!$H$4:$K$269,4,FALSE)</f>
        <v>Hartz</v>
      </c>
      <c r="D119" s="9">
        <v>4621</v>
      </c>
      <c r="E119" s="9" t="s">
        <v>26</v>
      </c>
      <c r="F119" s="9" t="s">
        <v>30</v>
      </c>
      <c r="G119" s="9" t="s">
        <v>27</v>
      </c>
      <c r="H119" s="8" t="s">
        <v>20</v>
      </c>
      <c r="I119" s="10">
        <v>466040</v>
      </c>
      <c r="J119" s="10">
        <v>5213755</v>
      </c>
      <c r="K119" s="11">
        <v>-43.228230000000003</v>
      </c>
      <c r="L119" s="11">
        <v>146.58179999999999</v>
      </c>
      <c r="N119" s="8" t="s">
        <v>37</v>
      </c>
      <c r="O119" s="8">
        <v>2</v>
      </c>
      <c r="P119" s="8">
        <v>2</v>
      </c>
    </row>
    <row r="120" spans="1:16" x14ac:dyDescent="0.15">
      <c r="A120" s="9" t="s">
        <v>247</v>
      </c>
      <c r="B120" s="9" t="str">
        <f>VLOOKUP(D120,[1]TASMaps!$H$4:$K$269,3,FALSE)</f>
        <v>TS07</v>
      </c>
      <c r="C120" s="9" t="str">
        <f>VLOOKUP(D120,[1]TASMaps!$H$4:$K$269,4,FALSE)</f>
        <v>Adamsons</v>
      </c>
      <c r="D120" s="9">
        <v>4820</v>
      </c>
      <c r="E120" s="9" t="s">
        <v>39</v>
      </c>
      <c r="F120" s="9" t="s">
        <v>18</v>
      </c>
      <c r="G120" s="9" t="s">
        <v>27</v>
      </c>
      <c r="H120" s="8" t="s">
        <v>20</v>
      </c>
      <c r="I120" s="10">
        <v>496410</v>
      </c>
      <c r="J120" s="10">
        <v>5204640</v>
      </c>
      <c r="K120" s="11">
        <v>-43.311070000000001</v>
      </c>
      <c r="L120" s="11">
        <v>146.95572999999999</v>
      </c>
      <c r="N120" s="8" t="s">
        <v>37</v>
      </c>
      <c r="P120" s="8">
        <v>1</v>
      </c>
    </row>
    <row r="121" spans="1:16" x14ac:dyDescent="0.15">
      <c r="A121" s="9" t="s">
        <v>248</v>
      </c>
      <c r="B121" s="9" t="str">
        <f>VLOOKUP(D121,[1]TASMaps!$H$4:$K$269,3,FALSE)</f>
        <v>TL04</v>
      </c>
      <c r="C121" s="9" t="str">
        <f>VLOOKUP(D121,[1]TASMaps!$H$4:$K$269,4,FALSE)</f>
        <v>Lake Pieman</v>
      </c>
      <c r="D121" s="9">
        <v>3638</v>
      </c>
      <c r="E121" s="9" t="s">
        <v>249</v>
      </c>
      <c r="F121" s="9" t="s">
        <v>23</v>
      </c>
      <c r="G121" s="9" t="s">
        <v>117</v>
      </c>
      <c r="H121" s="8" t="s">
        <v>20</v>
      </c>
      <c r="I121" s="10">
        <v>378390</v>
      </c>
      <c r="J121" s="10">
        <v>5384650</v>
      </c>
      <c r="K121" s="11">
        <v>-41.680630000000001</v>
      </c>
      <c r="L121" s="11">
        <v>145.53889000000001</v>
      </c>
      <c r="N121" s="8" t="s">
        <v>37</v>
      </c>
      <c r="P121" s="8">
        <v>1</v>
      </c>
    </row>
    <row r="122" spans="1:16" x14ac:dyDescent="0.15">
      <c r="A122" s="9" t="s">
        <v>250</v>
      </c>
      <c r="B122" s="9" t="str">
        <f>VLOOKUP(D122,[1]TASMaps!$H$4:$K$269,3,FALSE)</f>
        <v>TL04</v>
      </c>
      <c r="C122" s="9" t="str">
        <f>VLOOKUP(D122,[1]TASMaps!$H$4:$K$269,4,FALSE)</f>
        <v>Lake Pieman</v>
      </c>
      <c r="D122" s="9">
        <v>3638</v>
      </c>
      <c r="E122" s="9" t="s">
        <v>249</v>
      </c>
      <c r="F122" s="9" t="s">
        <v>23</v>
      </c>
      <c r="G122" s="9" t="s">
        <v>117</v>
      </c>
      <c r="H122" s="8" t="s">
        <v>20</v>
      </c>
      <c r="I122" s="10">
        <v>378460</v>
      </c>
      <c r="J122" s="10">
        <v>5385470</v>
      </c>
      <c r="K122" s="11">
        <v>-41.673259999999999</v>
      </c>
      <c r="L122" s="11">
        <v>145.53989999999999</v>
      </c>
      <c r="N122" s="8" t="s">
        <v>37</v>
      </c>
      <c r="P122" s="8">
        <v>1</v>
      </c>
    </row>
    <row r="123" spans="1:16" x14ac:dyDescent="0.15">
      <c r="A123" s="9" t="s">
        <v>251</v>
      </c>
      <c r="B123" s="9" t="str">
        <f>VLOOKUP(D123,[1]TASMaps!$H$4:$K$269,3,FALSE)</f>
        <v>TN09</v>
      </c>
      <c r="C123" s="9" t="str">
        <f>VLOOKUP(D123,[1]TASMaps!$H$4:$K$269,4,FALSE)</f>
        <v>Swanston</v>
      </c>
      <c r="D123" s="9">
        <v>5430</v>
      </c>
      <c r="E123" s="9" t="s">
        <v>252</v>
      </c>
      <c r="F123" s="9" t="s">
        <v>30</v>
      </c>
      <c r="G123" s="9" t="s">
        <v>59</v>
      </c>
      <c r="H123" s="8" t="s">
        <v>20</v>
      </c>
      <c r="I123" s="10">
        <v>542300</v>
      </c>
      <c r="J123" s="10">
        <v>5308150</v>
      </c>
      <c r="K123" s="11">
        <v>-42.377780000000001</v>
      </c>
      <c r="L123" s="11">
        <v>147.51381000000001</v>
      </c>
      <c r="N123" s="8" t="s">
        <v>37</v>
      </c>
      <c r="P123" s="8">
        <v>1</v>
      </c>
    </row>
    <row r="124" spans="1:16" x14ac:dyDescent="0.15">
      <c r="A124" s="7" t="s">
        <v>253</v>
      </c>
      <c r="B124" s="9" t="str">
        <f>VLOOKUP(D124,[1]TASMaps!$H$4:$K$269,3,FALSE)</f>
        <v>TD10</v>
      </c>
      <c r="C124" s="9" t="str">
        <f>VLOOKUP(D124,[1]TASMaps!$H$4:$K$269,4,FALSE)</f>
        <v>Babel</v>
      </c>
      <c r="D124" s="9">
        <v>5954</v>
      </c>
      <c r="E124" s="9" t="s">
        <v>150</v>
      </c>
      <c r="F124" s="9" t="s">
        <v>23</v>
      </c>
      <c r="G124" s="9" t="s">
        <v>151</v>
      </c>
      <c r="H124" s="8" t="s">
        <v>20</v>
      </c>
      <c r="I124" s="10">
        <v>594090</v>
      </c>
      <c r="J124" s="10">
        <v>5549250</v>
      </c>
      <c r="K124" s="11">
        <v>-40.201880000000003</v>
      </c>
      <c r="L124" s="11">
        <v>148.10552999999999</v>
      </c>
      <c r="N124" s="8" t="s">
        <v>37</v>
      </c>
      <c r="P124" s="8">
        <v>1</v>
      </c>
    </row>
    <row r="125" spans="1:16" x14ac:dyDescent="0.15">
      <c r="A125" s="7" t="s">
        <v>254</v>
      </c>
      <c r="B125" s="9" t="str">
        <f>VLOOKUP(D125,[1]TASMaps!$H$4:$K$269,3,FALSE)</f>
        <v>TP08</v>
      </c>
      <c r="C125" s="9" t="str">
        <f>VLOOKUP(D125,[1]TASMaps!$H$4:$K$269,4,FALSE)</f>
        <v>Green Ponds</v>
      </c>
      <c r="D125" s="9">
        <v>5228</v>
      </c>
      <c r="E125" s="9" t="s">
        <v>58</v>
      </c>
      <c r="F125" s="9" t="s">
        <v>18</v>
      </c>
      <c r="G125" s="9" t="s">
        <v>59</v>
      </c>
      <c r="H125" s="8" t="s">
        <v>20</v>
      </c>
      <c r="I125" s="10">
        <v>525030</v>
      </c>
      <c r="J125" s="10">
        <v>5281160</v>
      </c>
      <c r="K125" s="11">
        <v>-42.621589999999998</v>
      </c>
      <c r="L125" s="11">
        <v>147.30521999999999</v>
      </c>
      <c r="N125" s="8" t="s">
        <v>37</v>
      </c>
      <c r="P125" s="8">
        <v>1</v>
      </c>
    </row>
    <row r="126" spans="1:16" x14ac:dyDescent="0.15">
      <c r="A126" s="7" t="s">
        <v>255</v>
      </c>
      <c r="B126" s="9" t="str">
        <f>VLOOKUP(D126,[1]TASMaps!$H$4:$K$269,3,FALSE)</f>
        <v>TQ08</v>
      </c>
      <c r="C126" s="9" t="str">
        <f>VLOOKUP(D126,[1]TASMaps!$H$4:$K$269,4,FALSE)</f>
        <v>Wellington</v>
      </c>
      <c r="D126" s="9">
        <v>5024</v>
      </c>
      <c r="E126" s="9" t="s">
        <v>256</v>
      </c>
      <c r="F126" s="9" t="s">
        <v>18</v>
      </c>
      <c r="G126" s="9" t="s">
        <v>27</v>
      </c>
      <c r="H126" s="8" t="s">
        <v>20</v>
      </c>
      <c r="I126" s="10">
        <v>507630</v>
      </c>
      <c r="J126" s="10">
        <v>5248300</v>
      </c>
      <c r="K126" s="11">
        <v>-42.917879999999997</v>
      </c>
      <c r="L126" s="11">
        <v>147.09349</v>
      </c>
      <c r="N126" s="8" t="s">
        <v>37</v>
      </c>
      <c r="P126" s="8">
        <v>1</v>
      </c>
    </row>
    <row r="127" spans="1:16" x14ac:dyDescent="0.15">
      <c r="A127" s="7" t="s">
        <v>257</v>
      </c>
      <c r="B127" s="9" t="str">
        <f>VLOOKUP(D127,[1]TASMaps!$H$4:$K$269,3,FALSE)</f>
        <v>TK09</v>
      </c>
      <c r="C127" s="9" t="str">
        <f>VLOOKUP(D127,[1]TASMaps!$H$4:$K$269,4,FALSE)</f>
        <v>Ben Lomond</v>
      </c>
      <c r="D127" s="9">
        <v>5639</v>
      </c>
      <c r="E127" s="9" t="s">
        <v>155</v>
      </c>
      <c r="F127" s="9" t="s">
        <v>116</v>
      </c>
      <c r="G127" s="9" t="s">
        <v>44</v>
      </c>
      <c r="H127" s="8" t="s">
        <v>20</v>
      </c>
      <c r="I127" s="10">
        <v>567965</v>
      </c>
      <c r="J127" s="10">
        <v>5397280</v>
      </c>
      <c r="K127" s="11">
        <v>-41.573270000000001</v>
      </c>
      <c r="L127" s="11">
        <v>147.81523000000001</v>
      </c>
      <c r="N127" s="8" t="s">
        <v>37</v>
      </c>
      <c r="O127" s="8">
        <v>1</v>
      </c>
      <c r="P127" s="8">
        <v>1</v>
      </c>
    </row>
    <row r="128" spans="1:16" x14ac:dyDescent="0.15">
      <c r="A128" s="7" t="s">
        <v>258</v>
      </c>
      <c r="B128" s="9" t="str">
        <f>VLOOKUP(D128,[1]TASMaps!$H$4:$K$269,3,FALSE)</f>
        <v>TM06</v>
      </c>
      <c r="C128" s="9" t="str">
        <f>VLOOKUP(D128,[1]TASMaps!$H$4:$K$269,4,FALSE)</f>
        <v>St Clair</v>
      </c>
      <c r="D128" s="9">
        <v>4234</v>
      </c>
      <c r="E128" s="9" t="s">
        <v>259</v>
      </c>
      <c r="F128" s="9" t="s">
        <v>30</v>
      </c>
      <c r="G128" s="9" t="s">
        <v>36</v>
      </c>
      <c r="H128" s="8" t="s">
        <v>20</v>
      </c>
      <c r="I128" s="10">
        <v>422155</v>
      </c>
      <c r="J128" s="10">
        <v>5346485</v>
      </c>
      <c r="K128" s="11">
        <v>-42.029820000000001</v>
      </c>
      <c r="L128" s="11">
        <v>146.05960999999999</v>
      </c>
      <c r="M128" s="8" t="s">
        <v>21</v>
      </c>
      <c r="N128" s="8">
        <v>2</v>
      </c>
      <c r="O128" s="8">
        <v>2</v>
      </c>
      <c r="P128" s="8">
        <v>3</v>
      </c>
    </row>
    <row r="129" spans="1:16" x14ac:dyDescent="0.15">
      <c r="A129" s="9" t="s">
        <v>260</v>
      </c>
      <c r="B129" s="9" t="str">
        <f>VLOOKUP(D129,[1]TASMaps!$H$4:$K$269,3,FALSE)</f>
        <v>TP09</v>
      </c>
      <c r="C129" s="9" t="str">
        <f>VLOOKUP(D129,[1]TASMaps!$H$4:$K$269,4,FALSE)</f>
        <v>Prosser</v>
      </c>
      <c r="D129" s="9">
        <v>5428</v>
      </c>
      <c r="E129" s="9" t="s">
        <v>241</v>
      </c>
      <c r="F129" s="9" t="s">
        <v>30</v>
      </c>
      <c r="G129" s="9" t="s">
        <v>62</v>
      </c>
      <c r="H129" s="8" t="s">
        <v>20</v>
      </c>
      <c r="I129" s="10">
        <v>551450</v>
      </c>
      <c r="J129" s="10">
        <v>5282420</v>
      </c>
      <c r="K129" s="11">
        <v>-42.608939999999997</v>
      </c>
      <c r="L129" s="11">
        <v>147.62726000000001</v>
      </c>
      <c r="N129" s="8" t="s">
        <v>37</v>
      </c>
      <c r="P129" s="8">
        <v>1</v>
      </c>
    </row>
    <row r="130" spans="1:16" x14ac:dyDescent="0.15">
      <c r="A130" s="7" t="s">
        <v>261</v>
      </c>
      <c r="B130" s="9" t="str">
        <f>VLOOKUP(D130,[1]TASMaps!$H$4:$K$269,3,FALSE)</f>
        <v>TN06</v>
      </c>
      <c r="C130" s="9" t="str">
        <f>VLOOKUP(D130,[1]TASMaps!$H$4:$K$269,4,FALSE)</f>
        <v>King William</v>
      </c>
      <c r="D130" s="9">
        <v>4232</v>
      </c>
      <c r="E130" s="9" t="s">
        <v>80</v>
      </c>
      <c r="F130" s="9" t="s">
        <v>18</v>
      </c>
      <c r="G130" s="9" t="s">
        <v>24</v>
      </c>
      <c r="H130" s="8" t="s">
        <v>20</v>
      </c>
      <c r="I130" s="10">
        <v>421720</v>
      </c>
      <c r="J130" s="10">
        <v>5327570</v>
      </c>
      <c r="K130" s="11">
        <v>-42.200110000000002</v>
      </c>
      <c r="L130" s="11">
        <v>146.05181999999999</v>
      </c>
      <c r="N130" s="8" t="s">
        <v>37</v>
      </c>
      <c r="O130" s="8">
        <v>1</v>
      </c>
      <c r="P130" s="8">
        <v>1</v>
      </c>
    </row>
    <row r="131" spans="1:16" x14ac:dyDescent="0.15">
      <c r="A131" s="7" t="s">
        <v>262</v>
      </c>
      <c r="B131" s="9" t="str">
        <f>VLOOKUP(D131,[1]TASMaps!$H$4:$K$269,3,FALSE)</f>
        <v>TS07</v>
      </c>
      <c r="C131" s="9" t="str">
        <f>VLOOKUP(D131,[1]TASMaps!$H$4:$K$269,4,FALSE)</f>
        <v>Adamsons</v>
      </c>
      <c r="D131" s="9">
        <v>4820</v>
      </c>
      <c r="E131" s="9" t="s">
        <v>39</v>
      </c>
      <c r="F131" s="9" t="s">
        <v>30</v>
      </c>
      <c r="G131" s="9" t="s">
        <v>27</v>
      </c>
      <c r="H131" s="8" t="s">
        <v>20</v>
      </c>
      <c r="I131" s="10">
        <v>485290</v>
      </c>
      <c r="J131" s="10">
        <v>5200060</v>
      </c>
      <c r="K131" s="11">
        <v>-43.352170000000001</v>
      </c>
      <c r="L131" s="11">
        <v>146.81849</v>
      </c>
      <c r="N131" s="8" t="s">
        <v>37</v>
      </c>
      <c r="O131" s="8">
        <v>1</v>
      </c>
      <c r="P131" s="8">
        <v>1</v>
      </c>
    </row>
    <row r="132" spans="1:16" x14ac:dyDescent="0.15">
      <c r="A132" s="9" t="s">
        <v>263</v>
      </c>
      <c r="B132" s="9" t="str">
        <f>VLOOKUP(D132,[1]TASMaps!$H$4:$K$269,3,FALSE)</f>
        <v>TP09</v>
      </c>
      <c r="C132" s="9" t="str">
        <f>VLOOKUP(D132,[1]TASMaps!$H$4:$K$269,4,FALSE)</f>
        <v>Prosser</v>
      </c>
      <c r="D132" s="9">
        <v>5427</v>
      </c>
      <c r="E132" s="9" t="s">
        <v>264</v>
      </c>
      <c r="F132" s="9" t="s">
        <v>30</v>
      </c>
      <c r="G132" s="9" t="s">
        <v>62</v>
      </c>
      <c r="H132" s="8" t="s">
        <v>20</v>
      </c>
      <c r="I132" s="10">
        <v>555880</v>
      </c>
      <c r="J132" s="10">
        <v>5279460</v>
      </c>
      <c r="K132" s="11">
        <v>-42.635280000000002</v>
      </c>
      <c r="L132" s="11">
        <v>147.68155999999999</v>
      </c>
      <c r="N132" s="8" t="s">
        <v>37</v>
      </c>
      <c r="P132" s="8">
        <v>1</v>
      </c>
    </row>
    <row r="133" spans="1:16" x14ac:dyDescent="0.15">
      <c r="A133" s="7" t="s">
        <v>265</v>
      </c>
      <c r="B133" s="9" t="str">
        <f>VLOOKUP(D133,[1]TASMaps!$H$4:$K$269,3,FALSE)</f>
        <v>TP06</v>
      </c>
      <c r="C133" s="9" t="str">
        <f>VLOOKUP(D133,[1]TASMaps!$H$4:$K$269,4,FALSE)</f>
        <v>Denison Range</v>
      </c>
      <c r="D133" s="9">
        <v>4229</v>
      </c>
      <c r="E133" s="9" t="s">
        <v>128</v>
      </c>
      <c r="F133" s="9" t="s">
        <v>266</v>
      </c>
      <c r="G133" s="9" t="s">
        <v>19</v>
      </c>
      <c r="H133" s="8" t="s">
        <v>20</v>
      </c>
      <c r="I133" s="10">
        <v>428210</v>
      </c>
      <c r="J133" s="10">
        <v>5292560</v>
      </c>
      <c r="K133" s="11">
        <v>-42.515999999999998</v>
      </c>
      <c r="L133" s="11">
        <v>146.12606</v>
      </c>
      <c r="N133" s="8" t="s">
        <v>37</v>
      </c>
      <c r="O133" s="8">
        <v>2</v>
      </c>
      <c r="P133" s="8">
        <v>2</v>
      </c>
    </row>
    <row r="134" spans="1:16" x14ac:dyDescent="0.15">
      <c r="A134" s="7" t="s">
        <v>267</v>
      </c>
      <c r="B134" s="9" t="str">
        <f>VLOOKUP(D134,[1]TASMaps!$H$4:$K$269,3,FALSE)</f>
        <v>TH09</v>
      </c>
      <c r="C134" s="9" t="str">
        <f>VLOOKUP(D134,[1]TASMaps!$H$4:$K$269,4,FALSE)</f>
        <v>Boobyalla</v>
      </c>
      <c r="D134" s="9">
        <v>5646</v>
      </c>
      <c r="E134" s="9" t="s">
        <v>268</v>
      </c>
      <c r="F134" s="9" t="s">
        <v>30</v>
      </c>
      <c r="G134" s="9" t="s">
        <v>210</v>
      </c>
      <c r="H134" s="8" t="s">
        <v>20</v>
      </c>
      <c r="I134" s="10">
        <v>579220</v>
      </c>
      <c r="J134" s="10">
        <v>5462830</v>
      </c>
      <c r="K134" s="11">
        <v>-40.981859999999998</v>
      </c>
      <c r="L134" s="11">
        <v>147.94168999999999</v>
      </c>
      <c r="N134" s="8" t="s">
        <v>37</v>
      </c>
      <c r="O134" s="8">
        <v>1</v>
      </c>
      <c r="P134" s="8">
        <v>1</v>
      </c>
    </row>
    <row r="135" spans="1:16" x14ac:dyDescent="0.15">
      <c r="A135" s="7" t="s">
        <v>269</v>
      </c>
      <c r="B135" s="9" t="str">
        <f>VLOOKUP(D135,[1]TASMaps!$H$4:$K$269,3,FALSE)</f>
        <v>TM05</v>
      </c>
      <c r="C135" s="9" t="str">
        <f>VLOOKUP(D135,[1]TASMaps!$H$4:$K$269,4,FALSE)</f>
        <v>Eldon</v>
      </c>
      <c r="D135" s="9">
        <v>4034</v>
      </c>
      <c r="E135" s="9" t="s">
        <v>270</v>
      </c>
      <c r="F135" s="9" t="s">
        <v>18</v>
      </c>
      <c r="G135" s="9" t="s">
        <v>24</v>
      </c>
      <c r="H135" s="8" t="s">
        <v>20</v>
      </c>
      <c r="I135" s="10">
        <v>403840</v>
      </c>
      <c r="J135" s="10">
        <v>5344400</v>
      </c>
      <c r="K135" s="11">
        <v>-42.046570000000003</v>
      </c>
      <c r="L135" s="11">
        <v>145.83806000000001</v>
      </c>
      <c r="M135" s="8" t="s">
        <v>21</v>
      </c>
      <c r="N135" s="8" t="s">
        <v>37</v>
      </c>
      <c r="O135" s="8">
        <v>1</v>
      </c>
      <c r="P135" s="8">
        <v>1</v>
      </c>
    </row>
    <row r="136" spans="1:16" x14ac:dyDescent="0.15">
      <c r="A136" s="7" t="s">
        <v>271</v>
      </c>
      <c r="B136" s="9" t="str">
        <f>VLOOKUP(D136,[1]TASMaps!$H$4:$K$269,3,FALSE)</f>
        <v>TL05</v>
      </c>
      <c r="C136" s="9" t="str">
        <f>VLOOKUP(D136,[1]TASMaps!$H$4:$K$269,4,FALSE)</f>
        <v>Murchison</v>
      </c>
      <c r="D136" s="9">
        <v>4038</v>
      </c>
      <c r="E136" s="9" t="s">
        <v>90</v>
      </c>
      <c r="F136" s="9" t="s">
        <v>30</v>
      </c>
      <c r="G136" s="9" t="s">
        <v>24</v>
      </c>
      <c r="H136" s="8" t="s">
        <v>20</v>
      </c>
      <c r="I136" s="10">
        <v>414455</v>
      </c>
      <c r="J136" s="10">
        <v>5387895</v>
      </c>
      <c r="K136" s="11">
        <v>-41.656100000000002</v>
      </c>
      <c r="L136" s="11">
        <v>145.97259</v>
      </c>
      <c r="M136" s="8" t="s">
        <v>21</v>
      </c>
      <c r="N136" s="8" t="s">
        <v>37</v>
      </c>
      <c r="O136" s="8">
        <v>1</v>
      </c>
      <c r="P136" s="8">
        <v>1</v>
      </c>
    </row>
    <row r="137" spans="1:16" x14ac:dyDescent="0.15">
      <c r="A137" s="9" t="s">
        <v>272</v>
      </c>
      <c r="B137" s="9" t="str">
        <f>VLOOKUP(D137,[1]TASMaps!$H$4:$K$269,3,FALSE)</f>
        <v>TL09</v>
      </c>
      <c r="C137" s="9" t="str">
        <f>VLOOKUP(D137,[1]TASMaps!$H$4:$K$269,4,FALSE)</f>
        <v>Avoca</v>
      </c>
      <c r="D137" s="9">
        <v>5636</v>
      </c>
      <c r="E137" s="9" t="s">
        <v>273</v>
      </c>
      <c r="F137" s="9" t="s">
        <v>18</v>
      </c>
      <c r="G137" s="9" t="s">
        <v>78</v>
      </c>
      <c r="H137" s="8" t="s">
        <v>20</v>
      </c>
      <c r="I137" s="10">
        <v>567950</v>
      </c>
      <c r="J137" s="10">
        <v>5362260</v>
      </c>
      <c r="K137" s="11">
        <v>-41.888669999999998</v>
      </c>
      <c r="L137" s="11">
        <v>147.81905</v>
      </c>
      <c r="N137" s="8" t="s">
        <v>37</v>
      </c>
      <c r="P137" s="8">
        <v>1</v>
      </c>
    </row>
    <row r="138" spans="1:16" x14ac:dyDescent="0.15">
      <c r="A138" s="7" t="s">
        <v>274</v>
      </c>
      <c r="B138" s="9" t="str">
        <f>VLOOKUP(D138,[1]TASMaps!$H$4:$K$269,3,FALSE)</f>
        <v>TL05</v>
      </c>
      <c r="C138" s="9" t="str">
        <f>VLOOKUP(D138,[1]TASMaps!$H$4:$K$269,4,FALSE)</f>
        <v>Murchison</v>
      </c>
      <c r="D138" s="9">
        <v>4036</v>
      </c>
      <c r="E138" s="9" t="s">
        <v>29</v>
      </c>
      <c r="F138" s="9" t="s">
        <v>23</v>
      </c>
      <c r="G138" s="9" t="s">
        <v>24</v>
      </c>
      <c r="H138" s="8" t="s">
        <v>20</v>
      </c>
      <c r="I138" s="10">
        <v>400670</v>
      </c>
      <c r="J138" s="10">
        <v>5365200</v>
      </c>
      <c r="K138" s="11">
        <v>-41.858879999999999</v>
      </c>
      <c r="L138" s="11">
        <v>145.80327</v>
      </c>
      <c r="N138" s="8" t="s">
        <v>37</v>
      </c>
      <c r="O138" s="8">
        <v>1</v>
      </c>
      <c r="P138" s="8">
        <v>1</v>
      </c>
    </row>
    <row r="139" spans="1:16" x14ac:dyDescent="0.15">
      <c r="A139" s="7" t="s">
        <v>275</v>
      </c>
      <c r="B139" s="9" t="str">
        <f>VLOOKUP(D139,[1]TASMaps!$H$4:$K$269,3,FALSE)</f>
        <v>TR06</v>
      </c>
      <c r="C139" s="9" t="str">
        <f>VLOOKUP(D139,[1]TASMaps!$H$4:$K$269,4,FALSE)</f>
        <v>Western Arthur</v>
      </c>
      <c r="D139" s="9">
        <v>4421</v>
      </c>
      <c r="E139" s="9" t="s">
        <v>46</v>
      </c>
      <c r="F139" s="9" t="s">
        <v>30</v>
      </c>
      <c r="G139" s="9" t="s">
        <v>27</v>
      </c>
      <c r="H139" s="8" t="s">
        <v>20</v>
      </c>
      <c r="I139" s="10">
        <v>449630</v>
      </c>
      <c r="J139" s="10">
        <v>5220160</v>
      </c>
      <c r="K139" s="11">
        <v>-43.169640000000001</v>
      </c>
      <c r="L139" s="11">
        <v>146.38032000000001</v>
      </c>
      <c r="N139" s="8" t="s">
        <v>37</v>
      </c>
      <c r="O139" s="8">
        <v>2</v>
      </c>
      <c r="P139" s="8">
        <v>2</v>
      </c>
    </row>
    <row r="140" spans="1:16" x14ac:dyDescent="0.15">
      <c r="A140" s="7" t="s">
        <v>276</v>
      </c>
      <c r="B140" s="9" t="str">
        <f>VLOOKUP(D140,[1]TASMaps!$H$4:$K$269,3,FALSE)</f>
        <v>TR06</v>
      </c>
      <c r="C140" s="9" t="str">
        <f>VLOOKUP(D140,[1]TASMaps!$H$4:$K$269,4,FALSE)</f>
        <v>Western Arthur</v>
      </c>
      <c r="D140" s="9">
        <v>4222</v>
      </c>
      <c r="E140" s="9" t="s">
        <v>277</v>
      </c>
      <c r="F140" s="9" t="s">
        <v>30</v>
      </c>
      <c r="G140" s="9" t="s">
        <v>27</v>
      </c>
      <c r="H140" s="8" t="s">
        <v>20</v>
      </c>
      <c r="I140" s="10">
        <v>437590</v>
      </c>
      <c r="J140" s="10">
        <v>5224810</v>
      </c>
      <c r="K140" s="11">
        <v>-43.12688</v>
      </c>
      <c r="L140" s="11">
        <v>146.23273</v>
      </c>
      <c r="N140" s="8" t="s">
        <v>37</v>
      </c>
      <c r="O140" s="8">
        <v>1</v>
      </c>
      <c r="P140" s="8">
        <v>1</v>
      </c>
    </row>
    <row r="141" spans="1:16" x14ac:dyDescent="0.15">
      <c r="A141" s="7" t="s">
        <v>278</v>
      </c>
      <c r="B141" s="9" t="str">
        <f>VLOOKUP(D141,[1]TASMaps!$H$4:$K$269,3,FALSE)</f>
        <v>TR06</v>
      </c>
      <c r="C141" s="9" t="str">
        <f>VLOOKUP(D141,[1]TASMaps!$H$4:$K$269,4,FALSE)</f>
        <v>Western Arthur</v>
      </c>
      <c r="D141" s="9">
        <v>4422</v>
      </c>
      <c r="E141" s="9" t="s">
        <v>139</v>
      </c>
      <c r="F141" s="9" t="s">
        <v>30</v>
      </c>
      <c r="G141" s="9" t="s">
        <v>27</v>
      </c>
      <c r="H141" s="8" t="s">
        <v>20</v>
      </c>
      <c r="I141" s="10">
        <v>442120</v>
      </c>
      <c r="J141" s="10">
        <v>5221670</v>
      </c>
      <c r="K141" s="11">
        <v>-43.15551</v>
      </c>
      <c r="L141" s="11">
        <v>146.28809000000001</v>
      </c>
      <c r="N141" s="8" t="s">
        <v>37</v>
      </c>
      <c r="O141" s="8">
        <v>3</v>
      </c>
      <c r="P141" s="8">
        <v>3</v>
      </c>
    </row>
    <row r="142" spans="1:16" x14ac:dyDescent="0.15">
      <c r="A142" s="7" t="s">
        <v>279</v>
      </c>
      <c r="B142" s="9" t="str">
        <f>VLOOKUP(D142,[1]TASMaps!$H$4:$K$269,3,FALSE)</f>
        <v>TJ07</v>
      </c>
      <c r="C142" s="9" t="str">
        <f>VLOOKUP(D142,[1]TASMaps!$H$4:$K$269,4,FALSE)</f>
        <v>Dazzler</v>
      </c>
      <c r="D142" s="9">
        <v>4842</v>
      </c>
      <c r="E142" s="9" t="s">
        <v>280</v>
      </c>
      <c r="F142" s="9" t="s">
        <v>30</v>
      </c>
      <c r="G142" s="9" t="s">
        <v>281</v>
      </c>
      <c r="H142" s="8" t="s">
        <v>20</v>
      </c>
      <c r="I142" s="10">
        <v>482160</v>
      </c>
      <c r="J142" s="10">
        <v>5425300</v>
      </c>
      <c r="K142" s="11">
        <v>-41.32358</v>
      </c>
      <c r="L142" s="11">
        <v>146.78683000000001</v>
      </c>
      <c r="N142" s="8" t="s">
        <v>37</v>
      </c>
      <c r="P142" s="8">
        <v>1</v>
      </c>
    </row>
    <row r="143" spans="1:16" x14ac:dyDescent="0.15">
      <c r="A143" s="7" t="s">
        <v>282</v>
      </c>
      <c r="B143" s="9" t="str">
        <f>VLOOKUP(D143,[1]TASMaps!$H$4:$K$269,3,FALSE)</f>
        <v>TR06</v>
      </c>
      <c r="C143" s="9" t="str">
        <f>VLOOKUP(D143,[1]TASMaps!$H$4:$K$269,4,FALSE)</f>
        <v>Western Arthur</v>
      </c>
      <c r="D143" s="9">
        <v>4422</v>
      </c>
      <c r="E143" s="9" t="s">
        <v>139</v>
      </c>
      <c r="F143" s="9" t="s">
        <v>23</v>
      </c>
      <c r="G143" s="9" t="s">
        <v>27</v>
      </c>
      <c r="H143" s="8" t="s">
        <v>20</v>
      </c>
      <c r="I143" s="10">
        <v>447700</v>
      </c>
      <c r="J143" s="10">
        <v>5220390</v>
      </c>
      <c r="K143" s="11">
        <v>-43.167439999999999</v>
      </c>
      <c r="L143" s="11">
        <v>146.35659999999999</v>
      </c>
      <c r="N143" s="8" t="s">
        <v>37</v>
      </c>
      <c r="O143" s="8">
        <v>2</v>
      </c>
      <c r="P143" s="8">
        <v>2</v>
      </c>
    </row>
    <row r="144" spans="1:16" x14ac:dyDescent="0.15">
      <c r="A144" s="9" t="s">
        <v>283</v>
      </c>
      <c r="B144" s="9" t="str">
        <f>VLOOKUP(D144,[1]TASMaps!$H$4:$K$269,3,FALSE)</f>
        <v>TN09</v>
      </c>
      <c r="C144" s="9" t="str">
        <f>VLOOKUP(D144,[1]TASMaps!$H$4:$K$269,4,FALSE)</f>
        <v>Swanston</v>
      </c>
      <c r="D144" s="9">
        <v>5431</v>
      </c>
      <c r="E144" s="9" t="s">
        <v>284</v>
      </c>
      <c r="F144" s="9" t="s">
        <v>30</v>
      </c>
      <c r="G144" s="9" t="s">
        <v>59</v>
      </c>
      <c r="H144" s="8" t="s">
        <v>20</v>
      </c>
      <c r="I144" s="10">
        <v>543040</v>
      </c>
      <c r="J144" s="10">
        <v>5313740</v>
      </c>
      <c r="K144" s="11">
        <v>-42.327399999999997</v>
      </c>
      <c r="L144" s="11">
        <v>147.52238</v>
      </c>
      <c r="N144" s="8" t="s">
        <v>37</v>
      </c>
      <c r="P144" s="8">
        <v>1</v>
      </c>
    </row>
    <row r="145" spans="1:16" x14ac:dyDescent="0.15">
      <c r="A145" s="9" t="s">
        <v>285</v>
      </c>
      <c r="B145" s="9" t="str">
        <f>VLOOKUP(D145,[1]TASMaps!$H$4:$K$269,3,FALSE)</f>
        <v>TL09</v>
      </c>
      <c r="C145" s="9" t="str">
        <f>VLOOKUP(D145,[1]TASMaps!$H$4:$K$269,4,FALSE)</f>
        <v>Avoca</v>
      </c>
      <c r="D145" s="9">
        <v>5437</v>
      </c>
      <c r="E145" s="9" t="s">
        <v>286</v>
      </c>
      <c r="F145" s="9" t="s">
        <v>30</v>
      </c>
      <c r="G145" s="9" t="s">
        <v>78</v>
      </c>
      <c r="H145" s="8" t="s">
        <v>20</v>
      </c>
      <c r="I145" s="10">
        <v>558950</v>
      </c>
      <c r="J145" s="10">
        <v>5379310</v>
      </c>
      <c r="K145" s="11">
        <v>-41.735840000000003</v>
      </c>
      <c r="L145" s="11">
        <v>147.70887999999999</v>
      </c>
      <c r="N145" s="8" t="s">
        <v>37</v>
      </c>
      <c r="P145" s="8">
        <v>1</v>
      </c>
    </row>
    <row r="146" spans="1:16" x14ac:dyDescent="0.15">
      <c r="A146" s="7" t="s">
        <v>287</v>
      </c>
      <c r="B146" s="9" t="str">
        <f>VLOOKUP(D146,[1]TASMaps!$H$4:$K$269,3,FALSE)</f>
        <v>TM06</v>
      </c>
      <c r="C146" s="9" t="str">
        <f>VLOOKUP(D146,[1]TASMaps!$H$4:$K$269,4,FALSE)</f>
        <v>St Clair</v>
      </c>
      <c r="D146" s="9">
        <v>4235</v>
      </c>
      <c r="E146" s="9" t="s">
        <v>32</v>
      </c>
      <c r="F146" s="9" t="s">
        <v>30</v>
      </c>
      <c r="G146" s="9" t="s">
        <v>33</v>
      </c>
      <c r="H146" s="8" t="s">
        <v>20</v>
      </c>
      <c r="I146" s="10">
        <v>425150</v>
      </c>
      <c r="J146" s="10">
        <v>5359770</v>
      </c>
      <c r="K146" s="11">
        <v>-41.910469999999997</v>
      </c>
      <c r="L146" s="11">
        <v>146.09746999999999</v>
      </c>
      <c r="M146" s="8" t="s">
        <v>21</v>
      </c>
      <c r="N146" s="8">
        <v>4</v>
      </c>
      <c r="O146" s="8">
        <v>4</v>
      </c>
      <c r="P146" s="8">
        <v>4</v>
      </c>
    </row>
    <row r="147" spans="1:16" x14ac:dyDescent="0.15">
      <c r="A147" s="7" t="s">
        <v>288</v>
      </c>
      <c r="B147" s="9" t="str">
        <f>VLOOKUP(D147,[1]TASMaps!$H$4:$K$269,3,FALSE)</f>
        <v>TS05</v>
      </c>
      <c r="C147" s="9" t="str">
        <f>VLOOKUP(D147,[1]TASMaps!$H$4:$K$269,4,FALSE)</f>
        <v>Port Davey</v>
      </c>
      <c r="D147" s="9">
        <v>4022</v>
      </c>
      <c r="E147" s="9" t="s">
        <v>289</v>
      </c>
      <c r="F147" s="9" t="s">
        <v>18</v>
      </c>
      <c r="G147" s="9" t="s">
        <v>24</v>
      </c>
      <c r="H147" s="8" t="s">
        <v>20</v>
      </c>
      <c r="I147" s="10">
        <v>407900</v>
      </c>
      <c r="J147" s="10">
        <v>5223720</v>
      </c>
      <c r="K147" s="11">
        <v>-43.133659999999999</v>
      </c>
      <c r="L147" s="11">
        <v>145.86760000000001</v>
      </c>
      <c r="N147" s="8" t="s">
        <v>37</v>
      </c>
      <c r="P147" s="8">
        <v>1</v>
      </c>
    </row>
    <row r="148" spans="1:16" x14ac:dyDescent="0.15">
      <c r="A148" s="7" t="s">
        <v>290</v>
      </c>
      <c r="B148" s="9" t="str">
        <f>VLOOKUP(D148,[1]TASMaps!$H$4:$K$269,3,FALSE)</f>
        <v>TM05</v>
      </c>
      <c r="C148" s="9" t="str">
        <f>VLOOKUP(D148,[1]TASMaps!$H$4:$K$269,4,FALSE)</f>
        <v>Eldon</v>
      </c>
      <c r="D148" s="9">
        <v>4035</v>
      </c>
      <c r="E148" s="9" t="s">
        <v>291</v>
      </c>
      <c r="F148" s="9" t="s">
        <v>30</v>
      </c>
      <c r="G148" s="9" t="s">
        <v>24</v>
      </c>
      <c r="H148" s="8" t="s">
        <v>20</v>
      </c>
      <c r="I148" s="10">
        <v>404420</v>
      </c>
      <c r="J148" s="10">
        <v>5350550</v>
      </c>
      <c r="K148" s="11">
        <v>-41.991259999999997</v>
      </c>
      <c r="L148" s="11">
        <v>145.84605999999999</v>
      </c>
      <c r="M148" s="8" t="s">
        <v>21</v>
      </c>
      <c r="N148" s="8" t="s">
        <v>37</v>
      </c>
      <c r="O148" s="8">
        <v>2</v>
      </c>
      <c r="P148" s="8">
        <v>2</v>
      </c>
    </row>
    <row r="149" spans="1:16" x14ac:dyDescent="0.15">
      <c r="A149" s="7" t="s">
        <v>292</v>
      </c>
      <c r="B149" s="9" t="str">
        <f>VLOOKUP(D149,[1]TASMaps!$H$4:$K$269,3,FALSE)</f>
        <v>TS06</v>
      </c>
      <c r="C149" s="9" t="str">
        <f>VLOOKUP(D149,[1]TASMaps!$H$4:$K$269,4,FALSE)</f>
        <v>Bathurst</v>
      </c>
      <c r="D149" s="9">
        <v>4420</v>
      </c>
      <c r="E149" s="9" t="s">
        <v>293</v>
      </c>
      <c r="F149" s="9" t="s">
        <v>30</v>
      </c>
      <c r="G149" s="9" t="s">
        <v>27</v>
      </c>
      <c r="H149" s="8" t="s">
        <v>20</v>
      </c>
      <c r="I149" s="10">
        <v>448120</v>
      </c>
      <c r="J149" s="10">
        <v>5208620</v>
      </c>
      <c r="K149" s="11">
        <v>-43.273449999999997</v>
      </c>
      <c r="L149" s="11">
        <v>146.36066</v>
      </c>
      <c r="N149" s="8" t="s">
        <v>37</v>
      </c>
      <c r="O149" s="8">
        <v>1</v>
      </c>
      <c r="P149" s="8">
        <v>1</v>
      </c>
    </row>
    <row r="150" spans="1:16" x14ac:dyDescent="0.15">
      <c r="A150" s="7" t="s">
        <v>294</v>
      </c>
      <c r="B150" s="9" t="str">
        <f>VLOOKUP(D150,[1]TASMaps!$H$4:$K$269,3,FALSE)</f>
        <v>TL07</v>
      </c>
      <c r="C150" s="9" t="str">
        <f>VLOOKUP(D150,[1]TASMaps!$H$4:$K$269,4,FALSE)</f>
        <v>Breton</v>
      </c>
      <c r="D150" s="9">
        <v>4837</v>
      </c>
      <c r="E150" s="9" t="s">
        <v>200</v>
      </c>
      <c r="F150" s="9" t="s">
        <v>30</v>
      </c>
      <c r="G150" s="9" t="s">
        <v>36</v>
      </c>
      <c r="H150" s="8" t="s">
        <v>20</v>
      </c>
      <c r="I150" s="10">
        <v>488130</v>
      </c>
      <c r="J150" s="10">
        <v>5373650</v>
      </c>
      <c r="K150" s="11">
        <v>-41.788919999999997</v>
      </c>
      <c r="L150" s="11">
        <v>146.85713999999999</v>
      </c>
      <c r="N150" s="8" t="s">
        <v>37</v>
      </c>
      <c r="O150" s="8">
        <v>1</v>
      </c>
      <c r="P150" s="8">
        <v>1</v>
      </c>
    </row>
    <row r="151" spans="1:16" x14ac:dyDescent="0.15">
      <c r="A151" s="7" t="s">
        <v>295</v>
      </c>
      <c r="B151" s="9" t="str">
        <f>VLOOKUP(D151,[1]TASMaps!$H$4:$K$269,3,FALSE)</f>
        <v>TL06</v>
      </c>
      <c r="C151" s="9" t="str">
        <f>VLOOKUP(D151,[1]TASMaps!$H$4:$K$269,4,FALSE)</f>
        <v>Jerusalem</v>
      </c>
      <c r="D151" s="9">
        <v>4236</v>
      </c>
      <c r="E151" s="9" t="s">
        <v>177</v>
      </c>
      <c r="F151" s="9" t="s">
        <v>30</v>
      </c>
      <c r="G151" s="9" t="s">
        <v>33</v>
      </c>
      <c r="H151" s="8" t="s">
        <v>20</v>
      </c>
      <c r="I151" s="10">
        <v>426190</v>
      </c>
      <c r="J151" s="10">
        <v>5362320</v>
      </c>
      <c r="K151" s="11">
        <v>-41.887610000000002</v>
      </c>
      <c r="L151" s="11">
        <v>146.11033</v>
      </c>
      <c r="N151" s="8" t="s">
        <v>37</v>
      </c>
      <c r="O151" s="8">
        <v>1</v>
      </c>
      <c r="P151" s="8">
        <v>1</v>
      </c>
    </row>
    <row r="152" spans="1:16" x14ac:dyDescent="0.15">
      <c r="A152" s="7" t="s">
        <v>296</v>
      </c>
      <c r="B152" s="9" t="str">
        <f>VLOOKUP(D152,[1]TASMaps!$H$4:$K$269,3,FALSE)</f>
        <v>TQ08</v>
      </c>
      <c r="C152" s="9" t="str">
        <f>VLOOKUP(D152,[1]TASMaps!$H$4:$K$269,4,FALSE)</f>
        <v>Wellington</v>
      </c>
      <c r="D152" s="9">
        <v>5024</v>
      </c>
      <c r="E152" s="9" t="s">
        <v>256</v>
      </c>
      <c r="F152" s="9" t="s">
        <v>297</v>
      </c>
      <c r="G152" s="9" t="s">
        <v>110</v>
      </c>
      <c r="H152" s="8" t="s">
        <v>20</v>
      </c>
      <c r="I152" s="10">
        <v>515640</v>
      </c>
      <c r="J152" s="10">
        <v>5246220</v>
      </c>
      <c r="K152" s="11">
        <v>-42.936489999999999</v>
      </c>
      <c r="L152" s="11">
        <v>147.19167999999999</v>
      </c>
      <c r="N152" s="8" t="s">
        <v>37</v>
      </c>
      <c r="O152" s="8">
        <v>1</v>
      </c>
      <c r="P152" s="8">
        <v>2</v>
      </c>
    </row>
    <row r="153" spans="1:16" x14ac:dyDescent="0.15">
      <c r="A153" s="7" t="s">
        <v>298</v>
      </c>
      <c r="B153" s="9" t="str">
        <f>VLOOKUP(D153,[1]TASMaps!$H$4:$K$269,3,FALSE)</f>
        <v>TK05</v>
      </c>
      <c r="C153" s="9" t="str">
        <f>VLOOKUP(D153,[1]TASMaps!$H$4:$K$269,4,FALSE)</f>
        <v>Black Bluff</v>
      </c>
      <c r="D153" s="9">
        <v>4040</v>
      </c>
      <c r="E153" s="9" t="s">
        <v>112</v>
      </c>
      <c r="F153" s="9" t="s">
        <v>30</v>
      </c>
      <c r="G153" s="9" t="s">
        <v>117</v>
      </c>
      <c r="H153" s="8" t="s">
        <v>20</v>
      </c>
      <c r="I153" s="10">
        <v>404700</v>
      </c>
      <c r="J153" s="10">
        <v>5406240</v>
      </c>
      <c r="K153" s="11">
        <v>-41.489789999999999</v>
      </c>
      <c r="L153" s="11">
        <v>145.85836</v>
      </c>
      <c r="N153" s="8" t="s">
        <v>37</v>
      </c>
      <c r="O153" s="8">
        <v>1</v>
      </c>
      <c r="P153" s="8">
        <v>1</v>
      </c>
    </row>
    <row r="154" spans="1:16" x14ac:dyDescent="0.15">
      <c r="A154" s="7" t="s">
        <v>299</v>
      </c>
      <c r="B154" s="9" t="str">
        <f>VLOOKUP(D154,[1]TASMaps!$H$4:$K$269,3,FALSE)</f>
        <v>TQ06</v>
      </c>
      <c r="C154" s="9" t="str">
        <f>VLOOKUP(D154,[1]TASMaps!$H$4:$K$269,4,FALSE)</f>
        <v>Lake Pedder</v>
      </c>
      <c r="D154" s="9">
        <v>4224</v>
      </c>
      <c r="E154" s="9" t="s">
        <v>300</v>
      </c>
      <c r="F154" s="9" t="s">
        <v>30</v>
      </c>
      <c r="G154" s="9" t="s">
        <v>19</v>
      </c>
      <c r="H154" s="8" t="s">
        <v>20</v>
      </c>
      <c r="I154" s="10">
        <v>429120</v>
      </c>
      <c r="J154" s="10">
        <v>5249770</v>
      </c>
      <c r="K154" s="11">
        <v>-42.901389999999999</v>
      </c>
      <c r="L154" s="11">
        <v>146.13179</v>
      </c>
      <c r="N154" s="8" t="s">
        <v>37</v>
      </c>
      <c r="O154" s="8">
        <v>1</v>
      </c>
      <c r="P154" s="8">
        <v>1</v>
      </c>
    </row>
    <row r="155" spans="1:16" x14ac:dyDescent="0.15">
      <c r="A155" s="7" t="s">
        <v>301</v>
      </c>
      <c r="B155" s="9" t="str">
        <f>VLOOKUP(D155,[1]TASMaps!$H$4:$K$269,3,FALSE)</f>
        <v>TQ06</v>
      </c>
      <c r="C155" s="9" t="str">
        <f>VLOOKUP(D155,[1]TASMaps!$H$4:$K$269,4,FALSE)</f>
        <v>Lake Pedder</v>
      </c>
      <c r="D155" s="9">
        <v>4424</v>
      </c>
      <c r="E155" s="9" t="s">
        <v>69</v>
      </c>
      <c r="F155" s="9" t="s">
        <v>18</v>
      </c>
      <c r="G155" s="9" t="s">
        <v>19</v>
      </c>
      <c r="H155" s="8" t="s">
        <v>20</v>
      </c>
      <c r="I155" s="10">
        <v>447890</v>
      </c>
      <c r="J155" s="10">
        <v>5246490</v>
      </c>
      <c r="K155" s="11">
        <v>-42.93244</v>
      </c>
      <c r="L155" s="11">
        <v>146.36138</v>
      </c>
      <c r="N155" s="8" t="s">
        <v>37</v>
      </c>
      <c r="P155" s="8">
        <v>1</v>
      </c>
    </row>
    <row r="156" spans="1:16" x14ac:dyDescent="0.15">
      <c r="A156" s="7" t="s">
        <v>302</v>
      </c>
      <c r="B156" s="9" t="str">
        <f>VLOOKUP(D156,[1]TASMaps!$H$4:$K$269,3,FALSE)</f>
        <v>TR06</v>
      </c>
      <c r="C156" s="9" t="str">
        <f>VLOOKUP(D156,[1]TASMaps!$H$4:$K$269,4,FALSE)</f>
        <v>Western Arthur</v>
      </c>
      <c r="D156" s="9">
        <v>4421</v>
      </c>
      <c r="E156" s="9" t="s">
        <v>46</v>
      </c>
      <c r="F156" s="9" t="s">
        <v>116</v>
      </c>
      <c r="G156" s="9" t="s">
        <v>27</v>
      </c>
      <c r="H156" s="8" t="s">
        <v>20</v>
      </c>
      <c r="I156" s="10">
        <v>449500</v>
      </c>
      <c r="J156" s="10">
        <v>5218170</v>
      </c>
      <c r="K156" s="11">
        <v>-43.187550000000002</v>
      </c>
      <c r="L156" s="11">
        <v>146.37853999999999</v>
      </c>
      <c r="N156" s="8" t="s">
        <v>37</v>
      </c>
      <c r="P156" s="8">
        <v>1</v>
      </c>
    </row>
    <row r="157" spans="1:16" x14ac:dyDescent="0.15">
      <c r="A157" s="7" t="s">
        <v>303</v>
      </c>
      <c r="B157" s="9" t="str">
        <f>VLOOKUP(D157,[1]TASMaps!$H$4:$K$269,3,FALSE)</f>
        <v>TN05</v>
      </c>
      <c r="C157" s="9" t="str">
        <f>VLOOKUP(D157,[1]TASMaps!$H$4:$K$269,4,FALSE)</f>
        <v>Frenchmans</v>
      </c>
      <c r="D157" s="9">
        <v>3832</v>
      </c>
      <c r="E157" s="9" t="s">
        <v>235</v>
      </c>
      <c r="F157" s="9" t="s">
        <v>23</v>
      </c>
      <c r="G157" s="9" t="s">
        <v>24</v>
      </c>
      <c r="H157" s="8" t="s">
        <v>20</v>
      </c>
      <c r="I157" s="10">
        <v>383020</v>
      </c>
      <c r="J157" s="10">
        <v>5328963</v>
      </c>
      <c r="K157" s="11">
        <v>-42.182740000000003</v>
      </c>
      <c r="L157" s="11">
        <v>145.58345</v>
      </c>
      <c r="N157" s="8" t="s">
        <v>37</v>
      </c>
      <c r="P157" s="8">
        <v>1</v>
      </c>
    </row>
    <row r="158" spans="1:16" x14ac:dyDescent="0.15">
      <c r="A158" s="7" t="s">
        <v>304</v>
      </c>
      <c r="B158" s="9" t="str">
        <f>VLOOKUP(D158,[1]TASMaps!$H$4:$K$269,3,FALSE)</f>
        <v>TP06</v>
      </c>
      <c r="C158" s="9" t="str">
        <f>VLOOKUP(D158,[1]TASMaps!$H$4:$K$269,4,FALSE)</f>
        <v>Denison Range</v>
      </c>
      <c r="D158" s="9">
        <v>4228</v>
      </c>
      <c r="E158" s="9" t="s">
        <v>305</v>
      </c>
      <c r="F158" s="9" t="s">
        <v>30</v>
      </c>
      <c r="G158" s="9" t="s">
        <v>19</v>
      </c>
      <c r="H158" s="8" t="s">
        <v>20</v>
      </c>
      <c r="I158" s="10">
        <v>437170</v>
      </c>
      <c r="J158" s="10">
        <v>5286510</v>
      </c>
      <c r="K158" s="11">
        <v>-42.571260000000002</v>
      </c>
      <c r="L158" s="11">
        <v>146.23446000000001</v>
      </c>
      <c r="N158" s="8">
        <v>3</v>
      </c>
      <c r="O158" s="8">
        <v>3</v>
      </c>
      <c r="P158" s="8">
        <v>2</v>
      </c>
    </row>
    <row r="159" spans="1:16" x14ac:dyDescent="0.15">
      <c r="A159" s="7" t="s">
        <v>306</v>
      </c>
      <c r="B159" s="9" t="str">
        <f>VLOOKUP(D159,[1]TASMaps!$H$4:$K$269,3,FALSE)</f>
        <v>TR07</v>
      </c>
      <c r="C159" s="9" t="str">
        <f>VLOOKUP(D159,[1]TASMaps!$H$4:$K$269,4,FALSE)</f>
        <v>Hartz</v>
      </c>
      <c r="D159" s="9">
        <v>4621</v>
      </c>
      <c r="E159" s="9" t="s">
        <v>26</v>
      </c>
      <c r="F159" s="9" t="s">
        <v>30</v>
      </c>
      <c r="G159" s="9" t="s">
        <v>27</v>
      </c>
      <c r="H159" s="8" t="s">
        <v>20</v>
      </c>
      <c r="I159" s="10">
        <v>466250</v>
      </c>
      <c r="J159" s="10">
        <v>5216470</v>
      </c>
      <c r="K159" s="11">
        <v>-43.203789999999998</v>
      </c>
      <c r="L159" s="11">
        <v>146.58456000000001</v>
      </c>
      <c r="N159" s="8" t="s">
        <v>37</v>
      </c>
      <c r="O159" s="8">
        <v>1</v>
      </c>
      <c r="P159" s="8">
        <v>2</v>
      </c>
    </row>
    <row r="160" spans="1:16" x14ac:dyDescent="0.15">
      <c r="A160" s="7" t="s">
        <v>307</v>
      </c>
      <c r="B160" s="9" t="str">
        <f>VLOOKUP(D160,[1]TASMaps!$H$4:$K$269,3,FALSE)</f>
        <v>TM06</v>
      </c>
      <c r="C160" s="9" t="str">
        <f>VLOOKUP(D160,[1]TASMaps!$H$4:$K$269,4,FALSE)</f>
        <v>St Clair</v>
      </c>
      <c r="D160" s="9">
        <v>4233</v>
      </c>
      <c r="E160" s="9" t="s">
        <v>134</v>
      </c>
      <c r="F160" s="9" t="s">
        <v>30</v>
      </c>
      <c r="G160" s="9" t="s">
        <v>36</v>
      </c>
      <c r="H160" s="8" t="s">
        <v>20</v>
      </c>
      <c r="I160" s="10">
        <v>438000</v>
      </c>
      <c r="J160" s="10">
        <v>5332565</v>
      </c>
      <c r="K160" s="11">
        <v>-42.156590000000001</v>
      </c>
      <c r="L160" s="11">
        <v>146.24952999999999</v>
      </c>
      <c r="N160" s="8" t="s">
        <v>37</v>
      </c>
      <c r="O160" s="8">
        <v>1</v>
      </c>
      <c r="P160" s="8">
        <v>1</v>
      </c>
    </row>
    <row r="161" spans="1:16" x14ac:dyDescent="0.15">
      <c r="A161" s="7" t="s">
        <v>307</v>
      </c>
      <c r="B161" s="9" t="str">
        <f>VLOOKUP(D161,[1]TASMaps!$H$4:$K$269,3,FALSE)</f>
        <v>TQ08</v>
      </c>
      <c r="C161" s="9" t="str">
        <f>VLOOKUP(D161,[1]TASMaps!$H$4:$K$269,4,FALSE)</f>
        <v>Wellington</v>
      </c>
      <c r="D161" s="9">
        <v>5025</v>
      </c>
      <c r="E161" s="9" t="s">
        <v>84</v>
      </c>
      <c r="F161" s="9" t="s">
        <v>30</v>
      </c>
      <c r="G161" s="9" t="s">
        <v>19</v>
      </c>
      <c r="H161" s="8" t="s">
        <v>20</v>
      </c>
      <c r="I161" s="10">
        <v>505930</v>
      </c>
      <c r="J161" s="10">
        <v>5252230</v>
      </c>
      <c r="K161" s="11">
        <v>-42.882510000000003</v>
      </c>
      <c r="L161" s="11">
        <v>147.07262</v>
      </c>
      <c r="N161" s="8" t="s">
        <v>37</v>
      </c>
      <c r="O161" s="8">
        <v>1</v>
      </c>
      <c r="P161" s="8">
        <v>1</v>
      </c>
    </row>
    <row r="162" spans="1:16" x14ac:dyDescent="0.15">
      <c r="A162" s="7" t="s">
        <v>308</v>
      </c>
      <c r="B162" s="9" t="str">
        <f>VLOOKUP(D162,[1]TASMaps!$H$4:$K$269,3,FALSE)</f>
        <v>TK05</v>
      </c>
      <c r="C162" s="9" t="str">
        <f>VLOOKUP(D162,[1]TASMaps!$H$4:$K$269,4,FALSE)</f>
        <v>Black Bluff</v>
      </c>
      <c r="D162" s="9">
        <v>3839</v>
      </c>
      <c r="E162" s="9" t="s">
        <v>309</v>
      </c>
      <c r="F162" s="9" t="s">
        <v>30</v>
      </c>
      <c r="G162" s="9" t="s">
        <v>117</v>
      </c>
      <c r="H162" s="8" t="s">
        <v>20</v>
      </c>
      <c r="I162" s="10">
        <v>389670</v>
      </c>
      <c r="J162" s="10">
        <v>5391300</v>
      </c>
      <c r="K162" s="11">
        <v>-41.622399999999999</v>
      </c>
      <c r="L162" s="11">
        <v>145.67561000000001</v>
      </c>
      <c r="N162" s="8" t="s">
        <v>37</v>
      </c>
      <c r="O162" s="8">
        <v>1</v>
      </c>
      <c r="P162" s="8">
        <v>1</v>
      </c>
    </row>
    <row r="163" spans="1:16" x14ac:dyDescent="0.15">
      <c r="A163" s="7" t="s">
        <v>310</v>
      </c>
      <c r="B163" s="9" t="str">
        <f>VLOOKUP(D163,[1]TASMaps!$H$4:$K$269,3,FALSE)</f>
        <v>TM05</v>
      </c>
      <c r="C163" s="9" t="str">
        <f>VLOOKUP(D163,[1]TASMaps!$H$4:$K$269,4,FALSE)</f>
        <v>Eldon</v>
      </c>
      <c r="D163" s="9">
        <v>4033</v>
      </c>
      <c r="E163" s="9" t="s">
        <v>311</v>
      </c>
      <c r="F163" s="9" t="s">
        <v>104</v>
      </c>
      <c r="G163" s="9" t="s">
        <v>36</v>
      </c>
      <c r="H163" s="8" t="s">
        <v>20</v>
      </c>
      <c r="I163" s="10">
        <v>418790</v>
      </c>
      <c r="J163" s="10">
        <v>5337180</v>
      </c>
      <c r="K163" s="11">
        <v>-42.11327</v>
      </c>
      <c r="L163" s="11">
        <v>146.01767000000001</v>
      </c>
      <c r="M163" s="8" t="s">
        <v>21</v>
      </c>
      <c r="N163" s="8" t="s">
        <v>37</v>
      </c>
      <c r="O163" s="8">
        <v>2</v>
      </c>
      <c r="P163" s="8">
        <v>2</v>
      </c>
    </row>
    <row r="164" spans="1:16" x14ac:dyDescent="0.15">
      <c r="A164" s="7" t="s">
        <v>312</v>
      </c>
      <c r="B164" s="9" t="str">
        <f>VLOOKUP(D164,[1]TASMaps!$H$4:$K$269,3,FALSE)</f>
        <v>TM06</v>
      </c>
      <c r="C164" s="9" t="str">
        <f>VLOOKUP(D164,[1]TASMaps!$H$4:$K$269,4,FALSE)</f>
        <v>St Clair</v>
      </c>
      <c r="D164" s="9">
        <v>4233</v>
      </c>
      <c r="E164" s="9" t="s">
        <v>134</v>
      </c>
      <c r="F164" s="9" t="s">
        <v>23</v>
      </c>
      <c r="G164" s="9" t="s">
        <v>36</v>
      </c>
      <c r="H164" s="8" t="s">
        <v>20</v>
      </c>
      <c r="I164" s="10">
        <v>424050</v>
      </c>
      <c r="J164" s="10">
        <v>5331920</v>
      </c>
      <c r="K164" s="11">
        <v>-42.161169999999998</v>
      </c>
      <c r="L164" s="11">
        <v>146.0806</v>
      </c>
      <c r="M164" s="8" t="s">
        <v>21</v>
      </c>
      <c r="N164" s="8" t="s">
        <v>37</v>
      </c>
      <c r="P164" s="8">
        <v>2</v>
      </c>
    </row>
    <row r="165" spans="1:16" x14ac:dyDescent="0.15">
      <c r="A165" s="9" t="s">
        <v>313</v>
      </c>
      <c r="B165" s="9" t="str">
        <f>VLOOKUP(D165,[1]TASMaps!$H$4:$K$269,3,FALSE)</f>
        <v>TM05</v>
      </c>
      <c r="C165" s="9" t="str">
        <f>VLOOKUP(D165,[1]TASMaps!$H$4:$K$269,4,FALSE)</f>
        <v>Eldon</v>
      </c>
      <c r="D165" s="9">
        <v>3835</v>
      </c>
      <c r="E165" s="9" t="s">
        <v>126</v>
      </c>
      <c r="F165" s="9" t="s">
        <v>18</v>
      </c>
      <c r="G165" s="9" t="s">
        <v>24</v>
      </c>
      <c r="H165" s="8" t="s">
        <v>20</v>
      </c>
      <c r="I165" s="10">
        <v>382190</v>
      </c>
      <c r="J165" s="10">
        <v>5352020</v>
      </c>
      <c r="K165" s="11">
        <v>-41.975009999999997</v>
      </c>
      <c r="L165" s="11">
        <v>145.57804999999999</v>
      </c>
      <c r="N165" s="8" t="s">
        <v>37</v>
      </c>
      <c r="P165" s="8">
        <v>1</v>
      </c>
    </row>
    <row r="166" spans="1:16" x14ac:dyDescent="0.15">
      <c r="A166" s="7" t="s">
        <v>314</v>
      </c>
      <c r="B166" s="9" t="str">
        <f>VLOOKUP(D166,[1]TASMaps!$H$4:$K$269,3,FALSE)</f>
        <v>TP06</v>
      </c>
      <c r="C166" s="9" t="str">
        <f>VLOOKUP(D166,[1]TASMaps!$H$4:$K$269,4,FALSE)</f>
        <v>Denison Range</v>
      </c>
      <c r="D166" s="9">
        <v>4429</v>
      </c>
      <c r="E166" s="9" t="s">
        <v>218</v>
      </c>
      <c r="F166" s="9" t="s">
        <v>18</v>
      </c>
      <c r="G166" s="9" t="s">
        <v>36</v>
      </c>
      <c r="H166" s="8" t="s">
        <v>20</v>
      </c>
      <c r="I166" s="10">
        <v>457600</v>
      </c>
      <c r="J166" s="10">
        <v>5292130</v>
      </c>
      <c r="K166" s="11">
        <v>-42.522039999999997</v>
      </c>
      <c r="L166" s="11">
        <v>146.48379</v>
      </c>
      <c r="N166" s="8" t="s">
        <v>37</v>
      </c>
      <c r="P166" s="8">
        <v>1</v>
      </c>
    </row>
    <row r="167" spans="1:16" x14ac:dyDescent="0.15">
      <c r="A167" s="9" t="s">
        <v>315</v>
      </c>
      <c r="B167" s="9" t="str">
        <f>VLOOKUP(D167,[1]TASMaps!$H$4:$K$269,3,FALSE)</f>
        <v>TL09</v>
      </c>
      <c r="C167" s="9" t="str">
        <f>VLOOKUP(D167,[1]TASMaps!$H$4:$K$269,4,FALSE)</f>
        <v>Avoca</v>
      </c>
      <c r="D167" s="9">
        <v>5437</v>
      </c>
      <c r="E167" s="9" t="s">
        <v>286</v>
      </c>
      <c r="F167" s="9" t="s">
        <v>30</v>
      </c>
      <c r="G167" s="9" t="s">
        <v>78</v>
      </c>
      <c r="H167" s="8" t="s">
        <v>20</v>
      </c>
      <c r="I167" s="10">
        <v>555840</v>
      </c>
      <c r="J167" s="10">
        <v>5378740</v>
      </c>
      <c r="K167" s="11">
        <v>-41.741199999999999</v>
      </c>
      <c r="L167" s="11">
        <v>147.67153999999999</v>
      </c>
      <c r="N167" s="8" t="s">
        <v>37</v>
      </c>
      <c r="P167" s="8">
        <v>1</v>
      </c>
    </row>
    <row r="168" spans="1:16" x14ac:dyDescent="0.15">
      <c r="A168" s="7" t="s">
        <v>316</v>
      </c>
      <c r="B168" s="9" t="str">
        <f>VLOOKUP(D168,[1]TASMaps!$H$4:$K$269,3,FALSE)</f>
        <v>TN06</v>
      </c>
      <c r="C168" s="9" t="str">
        <f>VLOOKUP(D168,[1]TASMaps!$H$4:$K$269,4,FALSE)</f>
        <v>King William</v>
      </c>
      <c r="D168" s="9">
        <v>4232</v>
      </c>
      <c r="E168" s="9" t="s">
        <v>80</v>
      </c>
      <c r="F168" s="9" t="s">
        <v>23</v>
      </c>
      <c r="G168" s="9" t="s">
        <v>36</v>
      </c>
      <c r="H168" s="8" t="s">
        <v>20</v>
      </c>
      <c r="I168" s="10">
        <v>424920</v>
      </c>
      <c r="J168" s="10">
        <v>5320670</v>
      </c>
      <c r="K168" s="11">
        <v>-42.262560000000001</v>
      </c>
      <c r="L168" s="11">
        <v>146.08967999999999</v>
      </c>
      <c r="N168" s="8" t="s">
        <v>37</v>
      </c>
      <c r="P168" s="8">
        <v>2</v>
      </c>
    </row>
    <row r="169" spans="1:16" x14ac:dyDescent="0.15">
      <c r="A169" s="7" t="s">
        <v>317</v>
      </c>
      <c r="B169" s="9" t="str">
        <f>VLOOKUP(D169,[1]TASMaps!$H$4:$K$269,3,FALSE)</f>
        <v>TR06</v>
      </c>
      <c r="C169" s="9" t="str">
        <f>VLOOKUP(D169,[1]TASMaps!$H$4:$K$269,4,FALSE)</f>
        <v>Western Arthur</v>
      </c>
      <c r="D169" s="9">
        <v>4223</v>
      </c>
      <c r="E169" s="9" t="s">
        <v>318</v>
      </c>
      <c r="F169" s="9" t="s">
        <v>18</v>
      </c>
      <c r="G169" s="9" t="s">
        <v>19</v>
      </c>
      <c r="H169" s="8" t="s">
        <v>20</v>
      </c>
      <c r="I169" s="10">
        <v>421600</v>
      </c>
      <c r="J169" s="10">
        <v>5234750</v>
      </c>
      <c r="K169" s="11">
        <v>-43.035890000000002</v>
      </c>
      <c r="L169" s="11">
        <v>146.03757999999999</v>
      </c>
      <c r="N169" s="8" t="s">
        <v>37</v>
      </c>
      <c r="O169" s="8">
        <v>2</v>
      </c>
      <c r="P169" s="8">
        <v>2</v>
      </c>
    </row>
    <row r="170" spans="1:16" x14ac:dyDescent="0.15">
      <c r="A170" s="9" t="s">
        <v>319</v>
      </c>
      <c r="B170" s="9" t="str">
        <f>VLOOKUP(D170,[1]TASMaps!$H$4:$K$269,3,FALSE)</f>
        <v>TK09</v>
      </c>
      <c r="C170" s="9" t="str">
        <f>VLOOKUP(D170,[1]TASMaps!$H$4:$K$269,4,FALSE)</f>
        <v>Ben Lomond</v>
      </c>
      <c r="D170" s="9">
        <v>5440</v>
      </c>
      <c r="E170" s="9" t="s">
        <v>320</v>
      </c>
      <c r="F170" s="9" t="s">
        <v>23</v>
      </c>
      <c r="G170" s="9" t="s">
        <v>78</v>
      </c>
      <c r="H170" s="8" t="s">
        <v>20</v>
      </c>
      <c r="I170" s="10">
        <v>550470</v>
      </c>
      <c r="J170" s="10">
        <v>5402860</v>
      </c>
      <c r="K170" s="11">
        <v>-41.52431</v>
      </c>
      <c r="L170" s="11">
        <v>147.60493</v>
      </c>
      <c r="N170" s="8" t="s">
        <v>37</v>
      </c>
      <c r="P170" s="8">
        <v>1</v>
      </c>
    </row>
    <row r="171" spans="1:16" x14ac:dyDescent="0.15">
      <c r="A171" s="7" t="s">
        <v>321</v>
      </c>
      <c r="B171" s="9" t="str">
        <f>VLOOKUP(D171,[1]TASMaps!$H$4:$K$269,3,FALSE)</f>
        <v>TQ06</v>
      </c>
      <c r="C171" s="9" t="str">
        <f>VLOOKUP(D171,[1]TASMaps!$H$4:$K$269,4,FALSE)</f>
        <v>Lake Pedder</v>
      </c>
      <c r="D171" s="9">
        <v>4224</v>
      </c>
      <c r="E171" s="9" t="s">
        <v>300</v>
      </c>
      <c r="F171" s="9" t="s">
        <v>30</v>
      </c>
      <c r="G171" s="9" t="s">
        <v>19</v>
      </c>
      <c r="H171" s="8" t="s">
        <v>20</v>
      </c>
      <c r="I171" s="10">
        <v>423880</v>
      </c>
      <c r="J171" s="10">
        <v>5243620</v>
      </c>
      <c r="K171" s="11">
        <v>-42.95626</v>
      </c>
      <c r="L171" s="11">
        <v>146.06676999999999</v>
      </c>
      <c r="N171" s="8">
        <v>3</v>
      </c>
      <c r="O171" s="8">
        <v>3</v>
      </c>
      <c r="P171" s="8">
        <v>3</v>
      </c>
    </row>
    <row r="172" spans="1:16" x14ac:dyDescent="0.15">
      <c r="A172" s="7" t="s">
        <v>322</v>
      </c>
      <c r="B172" s="9" t="str">
        <f>VLOOKUP(D172,[1]TASMaps!$H$4:$K$269,3,FALSE)</f>
        <v>TP07</v>
      </c>
      <c r="C172" s="9" t="str">
        <f>VLOOKUP(D172,[1]TASMaps!$H$4:$K$269,4,FALSE)</f>
        <v>Meadowbank</v>
      </c>
      <c r="D172" s="9">
        <v>4829</v>
      </c>
      <c r="E172" s="9" t="s">
        <v>198</v>
      </c>
      <c r="F172" s="9" t="s">
        <v>30</v>
      </c>
      <c r="G172" s="9" t="s">
        <v>36</v>
      </c>
      <c r="H172" s="8" t="s">
        <v>20</v>
      </c>
      <c r="I172" s="10">
        <v>490240</v>
      </c>
      <c r="J172" s="10">
        <v>5294300</v>
      </c>
      <c r="K172" s="11">
        <v>-42.503599999999999</v>
      </c>
      <c r="L172" s="11">
        <v>146.88121000000001</v>
      </c>
      <c r="N172" s="8" t="s">
        <v>37</v>
      </c>
      <c r="P172" s="8">
        <v>1</v>
      </c>
    </row>
    <row r="173" spans="1:16" x14ac:dyDescent="0.15">
      <c r="A173" s="7" t="s">
        <v>322</v>
      </c>
      <c r="B173" s="9" t="str">
        <f>VLOOKUP(D173,[1]TASMaps!$H$4:$K$269,3,FALSE)</f>
        <v>TR09</v>
      </c>
      <c r="C173" s="9" t="str">
        <f>VLOOKUP(D173,[1]TASMaps!$H$4:$K$269,4,FALSE)</f>
        <v>Tasman Peninsula</v>
      </c>
      <c r="D173" s="9">
        <v>5522</v>
      </c>
      <c r="E173" s="9" t="s">
        <v>82</v>
      </c>
      <c r="F173" s="9" t="s">
        <v>30</v>
      </c>
      <c r="G173" s="9" t="s">
        <v>83</v>
      </c>
      <c r="H173" s="8" t="s">
        <v>20</v>
      </c>
      <c r="I173" s="10">
        <v>563550</v>
      </c>
      <c r="J173" s="10">
        <v>5227480</v>
      </c>
      <c r="K173" s="11">
        <v>-43.102739999999997</v>
      </c>
      <c r="L173" s="11">
        <v>147.78098</v>
      </c>
      <c r="N173" s="8" t="s">
        <v>37</v>
      </c>
      <c r="P173" s="8">
        <v>1</v>
      </c>
    </row>
    <row r="174" spans="1:16" x14ac:dyDescent="0.15">
      <c r="A174" s="7" t="s">
        <v>323</v>
      </c>
      <c r="B174" s="9" t="str">
        <f>VLOOKUP(D174,[1]TASMaps!$H$4:$K$269,3,FALSE)</f>
        <v>TL07</v>
      </c>
      <c r="C174" s="9" t="str">
        <f>VLOOKUP(D174,[1]TASMaps!$H$4:$K$269,4,FALSE)</f>
        <v>Breton</v>
      </c>
      <c r="D174" s="9">
        <v>4636</v>
      </c>
      <c r="E174" s="9" t="s">
        <v>324</v>
      </c>
      <c r="F174" s="9" t="s">
        <v>18</v>
      </c>
      <c r="G174" s="9" t="s">
        <v>36</v>
      </c>
      <c r="H174" s="8" t="s">
        <v>20</v>
      </c>
      <c r="I174" s="10">
        <v>462270</v>
      </c>
      <c r="J174" s="10">
        <v>5360230</v>
      </c>
      <c r="K174" s="11">
        <v>-41.90898</v>
      </c>
      <c r="L174" s="11">
        <v>146.54507000000001</v>
      </c>
      <c r="N174" s="8" t="s">
        <v>37</v>
      </c>
      <c r="P174" s="8">
        <v>1</v>
      </c>
    </row>
    <row r="175" spans="1:16" x14ac:dyDescent="0.15">
      <c r="A175" s="7" t="s">
        <v>325</v>
      </c>
      <c r="B175" s="9" t="str">
        <f>VLOOKUP(D175,[1]TASMaps!$H$4:$K$269,3,FALSE)</f>
        <v>TK06</v>
      </c>
      <c r="C175" s="9" t="str">
        <f>VLOOKUP(D175,[1]TASMaps!$H$4:$K$269,4,FALSE)</f>
        <v>Fossey Mountains</v>
      </c>
      <c r="D175" s="9">
        <v>4240</v>
      </c>
      <c r="E175" s="9" t="s">
        <v>141</v>
      </c>
      <c r="F175" s="9" t="s">
        <v>30</v>
      </c>
      <c r="G175" s="9" t="s">
        <v>142</v>
      </c>
      <c r="H175" s="8" t="s">
        <v>20</v>
      </c>
      <c r="I175" s="10">
        <v>432980</v>
      </c>
      <c r="J175" s="10">
        <v>5406380</v>
      </c>
      <c r="K175" s="11">
        <v>-41.491390000000003</v>
      </c>
      <c r="L175" s="11">
        <v>146.19712000000001</v>
      </c>
      <c r="N175" s="8" t="s">
        <v>37</v>
      </c>
      <c r="O175" s="8">
        <v>1</v>
      </c>
      <c r="P175" s="8">
        <v>1</v>
      </c>
    </row>
    <row r="176" spans="1:16" x14ac:dyDescent="0.15">
      <c r="A176" s="7" t="s">
        <v>326</v>
      </c>
      <c r="B176" s="9" t="str">
        <f>VLOOKUP(D176,[1]TASMaps!$H$4:$K$269,3,FALSE)</f>
        <v>TP06</v>
      </c>
      <c r="C176" s="9" t="str">
        <f>VLOOKUP(D176,[1]TASMaps!$H$4:$K$269,4,FALSE)</f>
        <v>Denison Range</v>
      </c>
      <c r="D176" s="9">
        <v>4427</v>
      </c>
      <c r="E176" s="9" t="s">
        <v>327</v>
      </c>
      <c r="F176" s="9" t="s">
        <v>18</v>
      </c>
      <c r="G176" s="9" t="s">
        <v>19</v>
      </c>
      <c r="H176" s="8" t="s">
        <v>20</v>
      </c>
      <c r="I176" s="10">
        <v>440370</v>
      </c>
      <c r="J176" s="10">
        <v>5274950</v>
      </c>
      <c r="K176" s="11">
        <v>-42.675609999999999</v>
      </c>
      <c r="L176" s="11">
        <v>146.27224000000001</v>
      </c>
      <c r="M176" s="8" t="s">
        <v>21</v>
      </c>
      <c r="N176" s="8">
        <v>2</v>
      </c>
      <c r="O176" s="8">
        <v>2</v>
      </c>
      <c r="P176" s="8">
        <v>2</v>
      </c>
    </row>
    <row r="177" spans="1:16" x14ac:dyDescent="0.15">
      <c r="A177" s="7" t="s">
        <v>328</v>
      </c>
      <c r="B177" s="9" t="str">
        <f>VLOOKUP(D177,[1]TASMaps!$H$4:$K$269,3,FALSE)</f>
        <v>TQ06</v>
      </c>
      <c r="C177" s="9" t="str">
        <f>VLOOKUP(D177,[1]TASMaps!$H$4:$K$269,4,FALSE)</f>
        <v>Lake Pedder</v>
      </c>
      <c r="D177" s="9">
        <v>4224</v>
      </c>
      <c r="E177" s="9" t="s">
        <v>300</v>
      </c>
      <c r="F177" s="9" t="s">
        <v>23</v>
      </c>
      <c r="G177" s="9" t="s">
        <v>19</v>
      </c>
      <c r="H177" s="8" t="s">
        <v>20</v>
      </c>
      <c r="I177" s="10">
        <v>425940</v>
      </c>
      <c r="J177" s="10">
        <v>5242900</v>
      </c>
      <c r="K177" s="11">
        <v>-42.962949999999999</v>
      </c>
      <c r="L177" s="11">
        <v>146.09192999999999</v>
      </c>
      <c r="N177" s="8" t="s">
        <v>37</v>
      </c>
      <c r="O177" s="8">
        <v>1</v>
      </c>
      <c r="P177" s="8">
        <v>2</v>
      </c>
    </row>
    <row r="178" spans="1:16" x14ac:dyDescent="0.15">
      <c r="A178" s="7" t="s">
        <v>329</v>
      </c>
      <c r="B178" s="9" t="str">
        <f>VLOOKUP(D178,[1]TASMaps!$H$4:$K$269,3,FALSE)</f>
        <v>TR09</v>
      </c>
      <c r="C178" s="9" t="str">
        <f>VLOOKUP(D178,[1]TASMaps!$H$4:$K$269,4,FALSE)</f>
        <v>Tasman Peninsula</v>
      </c>
      <c r="D178" s="9">
        <v>5623</v>
      </c>
      <c r="E178" s="9" t="s">
        <v>330</v>
      </c>
      <c r="F178" s="9" t="s">
        <v>23</v>
      </c>
      <c r="G178" s="9" t="s">
        <v>83</v>
      </c>
      <c r="H178" s="8" t="s">
        <v>20</v>
      </c>
      <c r="I178" s="10">
        <v>577330</v>
      </c>
      <c r="J178" s="10">
        <v>5230890</v>
      </c>
      <c r="K178" s="11">
        <v>-43.07076</v>
      </c>
      <c r="L178" s="11">
        <v>147.94981999999999</v>
      </c>
      <c r="N178" s="8" t="s">
        <v>37</v>
      </c>
      <c r="P178" s="8">
        <v>1</v>
      </c>
    </row>
    <row r="179" spans="1:16" x14ac:dyDescent="0.15">
      <c r="A179" s="7" t="s">
        <v>331</v>
      </c>
      <c r="B179" s="9" t="str">
        <f>VLOOKUP(D179,[1]TASMaps!$H$4:$K$269,3,FALSE)</f>
        <v>TK04</v>
      </c>
      <c r="C179" s="9" t="str">
        <f>VLOOKUP(D179,[1]TASMaps!$H$4:$K$269,4,FALSE)</f>
        <v>White River</v>
      </c>
      <c r="D179" s="9">
        <v>3641</v>
      </c>
      <c r="E179" s="9" t="s">
        <v>170</v>
      </c>
      <c r="F179" s="9" t="s">
        <v>30</v>
      </c>
      <c r="G179" s="9" t="s">
        <v>117</v>
      </c>
      <c r="H179" s="8" t="s">
        <v>20</v>
      </c>
      <c r="I179" s="10">
        <v>364510</v>
      </c>
      <c r="J179" s="10">
        <v>5410030</v>
      </c>
      <c r="K179" s="11">
        <v>-41.44988</v>
      </c>
      <c r="L179" s="11">
        <v>145.37791999999999</v>
      </c>
      <c r="N179" s="8" t="s">
        <v>37</v>
      </c>
      <c r="O179" s="8">
        <v>1</v>
      </c>
      <c r="P179" s="8">
        <v>1</v>
      </c>
    </row>
    <row r="180" spans="1:16" x14ac:dyDescent="0.15">
      <c r="A180" s="7" t="s">
        <v>332</v>
      </c>
      <c r="B180" s="9" t="str">
        <f>VLOOKUP(D180,[1]TASMaps!$H$4:$K$269,3,FALSE)</f>
        <v>TL07</v>
      </c>
      <c r="C180" s="9" t="str">
        <f>VLOOKUP(D180,[1]TASMaps!$H$4:$K$269,4,FALSE)</f>
        <v>Breton</v>
      </c>
      <c r="D180" s="9">
        <v>4838</v>
      </c>
      <c r="E180" s="9" t="s">
        <v>333</v>
      </c>
      <c r="F180" s="9" t="s">
        <v>104</v>
      </c>
      <c r="G180" s="9" t="s">
        <v>33</v>
      </c>
      <c r="H180" s="8" t="s">
        <v>20</v>
      </c>
      <c r="I180" s="10">
        <v>483740</v>
      </c>
      <c r="J180" s="10">
        <v>5388590</v>
      </c>
      <c r="K180" s="11">
        <v>-41.654269999999997</v>
      </c>
      <c r="L180" s="11">
        <v>146.80472</v>
      </c>
      <c r="N180" s="8" t="s">
        <v>37</v>
      </c>
      <c r="P180" s="8">
        <v>1</v>
      </c>
    </row>
    <row r="181" spans="1:16" x14ac:dyDescent="0.15">
      <c r="A181" s="7" t="s">
        <v>334</v>
      </c>
      <c r="B181" s="9" t="str">
        <f>VLOOKUP(D181,[1]TASMaps!$H$4:$K$269,3,FALSE)</f>
        <v>TL06</v>
      </c>
      <c r="C181" s="9" t="str">
        <f>VLOOKUP(D181,[1]TASMaps!$H$4:$K$269,4,FALSE)</f>
        <v>Jerusalem</v>
      </c>
      <c r="D181" s="9">
        <v>4237</v>
      </c>
      <c r="E181" s="9" t="s">
        <v>335</v>
      </c>
      <c r="F181" s="9" t="s">
        <v>30</v>
      </c>
      <c r="G181" s="9" t="s">
        <v>33</v>
      </c>
      <c r="H181" s="8" t="s">
        <v>20</v>
      </c>
      <c r="I181" s="10">
        <v>438100</v>
      </c>
      <c r="J181" s="10">
        <v>5376930</v>
      </c>
      <c r="K181" s="11">
        <v>-41.75705</v>
      </c>
      <c r="L181" s="11">
        <v>146.25540000000001</v>
      </c>
      <c r="M181" s="8" t="s">
        <v>21</v>
      </c>
      <c r="N181" s="8">
        <v>2</v>
      </c>
      <c r="O181" s="8">
        <v>2</v>
      </c>
      <c r="P181" s="8">
        <v>2</v>
      </c>
    </row>
    <row r="182" spans="1:16" x14ac:dyDescent="0.15">
      <c r="A182" s="7" t="s">
        <v>336</v>
      </c>
      <c r="B182" s="9" t="str">
        <f>VLOOKUP(D182,[1]TASMaps!$H$4:$K$269,3,FALSE)</f>
        <v>TN05</v>
      </c>
      <c r="C182" s="9" t="str">
        <f>VLOOKUP(D182,[1]TASMaps!$H$4:$K$269,4,FALSE)</f>
        <v>Frenchmans</v>
      </c>
      <c r="D182" s="9">
        <v>4031</v>
      </c>
      <c r="E182" s="9" t="s">
        <v>337</v>
      </c>
      <c r="F182" s="9" t="s">
        <v>30</v>
      </c>
      <c r="G182" s="9" t="s">
        <v>24</v>
      </c>
      <c r="H182" s="8" t="s">
        <v>20</v>
      </c>
      <c r="I182" s="10">
        <v>402550</v>
      </c>
      <c r="J182" s="10">
        <v>5317820</v>
      </c>
      <c r="K182" s="11">
        <v>-42.28575</v>
      </c>
      <c r="L182" s="11">
        <v>145.81801999999999</v>
      </c>
      <c r="M182" s="8" t="s">
        <v>21</v>
      </c>
      <c r="N182" s="8">
        <v>4</v>
      </c>
      <c r="O182" s="8">
        <v>4</v>
      </c>
      <c r="P182" s="8">
        <v>3</v>
      </c>
    </row>
    <row r="183" spans="1:16" x14ac:dyDescent="0.15">
      <c r="A183" s="7" t="s">
        <v>338</v>
      </c>
      <c r="B183" s="9" t="str">
        <f>VLOOKUP(D183,[1]TASMaps!$H$4:$K$269,3,FALSE)</f>
        <v>TM05</v>
      </c>
      <c r="C183" s="9" t="str">
        <f>VLOOKUP(D183,[1]TASMaps!$H$4:$K$269,4,FALSE)</f>
        <v>Eldon</v>
      </c>
      <c r="D183" s="9">
        <v>4034</v>
      </c>
      <c r="E183" s="9" t="s">
        <v>270</v>
      </c>
      <c r="F183" s="9" t="s">
        <v>18</v>
      </c>
      <c r="G183" s="9" t="s">
        <v>24</v>
      </c>
      <c r="H183" s="8" t="s">
        <v>20</v>
      </c>
      <c r="I183" s="10">
        <v>419180</v>
      </c>
      <c r="J183" s="10">
        <v>5345360</v>
      </c>
      <c r="K183" s="11">
        <v>-42.039650000000002</v>
      </c>
      <c r="L183" s="11">
        <v>146.02351999999999</v>
      </c>
      <c r="N183" s="8" t="s">
        <v>37</v>
      </c>
      <c r="O183" s="8">
        <v>1</v>
      </c>
      <c r="P183" s="8">
        <v>2</v>
      </c>
    </row>
    <row r="184" spans="1:16" x14ac:dyDescent="0.15">
      <c r="A184" s="9" t="s">
        <v>339</v>
      </c>
      <c r="B184" s="9" t="str">
        <f>VLOOKUP(D184,[1]TASMaps!$H$4:$K$269,3,FALSE)</f>
        <v>TP08</v>
      </c>
      <c r="C184" s="9" t="str">
        <f>VLOOKUP(D184,[1]TASMaps!$H$4:$K$269,4,FALSE)</f>
        <v>Green Ponds</v>
      </c>
      <c r="D184" s="9">
        <v>5227</v>
      </c>
      <c r="E184" s="9" t="s">
        <v>340</v>
      </c>
      <c r="F184" s="9" t="s">
        <v>18</v>
      </c>
      <c r="G184" s="9" t="s">
        <v>59</v>
      </c>
      <c r="H184" s="8" t="s">
        <v>20</v>
      </c>
      <c r="I184" s="10">
        <v>533800</v>
      </c>
      <c r="J184" s="10">
        <v>5279500</v>
      </c>
      <c r="K184" s="11">
        <v>-42.636209999999998</v>
      </c>
      <c r="L184" s="11">
        <v>147.41226</v>
      </c>
      <c r="N184" s="8" t="s">
        <v>37</v>
      </c>
      <c r="P184" s="8">
        <v>1</v>
      </c>
    </row>
    <row r="185" spans="1:16" x14ac:dyDescent="0.15">
      <c r="A185" s="7" t="s">
        <v>341</v>
      </c>
      <c r="B185" s="9" t="str">
        <f>VLOOKUP(D185,[1]TASMaps!$H$4:$K$269,3,FALSE)</f>
        <v>TK09</v>
      </c>
      <c r="C185" s="9" t="str">
        <f>VLOOKUP(D185,[1]TASMaps!$H$4:$K$269,4,FALSE)</f>
        <v>Ben Lomond</v>
      </c>
      <c r="D185" s="9">
        <v>5440</v>
      </c>
      <c r="E185" s="9" t="s">
        <v>320</v>
      </c>
      <c r="F185" s="9" t="s">
        <v>30</v>
      </c>
      <c r="G185" s="9" t="s">
        <v>78</v>
      </c>
      <c r="H185" s="8" t="s">
        <v>20</v>
      </c>
      <c r="I185" s="10">
        <v>553790</v>
      </c>
      <c r="J185" s="10">
        <v>5400610</v>
      </c>
      <c r="K185" s="11">
        <v>-41.544359999999998</v>
      </c>
      <c r="L185" s="11">
        <v>147.64492000000001</v>
      </c>
      <c r="N185" s="8" t="s">
        <v>37</v>
      </c>
      <c r="O185" s="8">
        <v>1</v>
      </c>
      <c r="P185" s="8">
        <v>1</v>
      </c>
    </row>
    <row r="186" spans="1:16" x14ac:dyDescent="0.15">
      <c r="A186" s="9" t="s">
        <v>342</v>
      </c>
      <c r="B186" s="9" t="str">
        <f>VLOOKUP(D186,[1]TASMaps!$H$4:$K$269,3,FALSE)</f>
        <v>TS07</v>
      </c>
      <c r="C186" s="9" t="str">
        <f>VLOOKUP(D186,[1]TASMaps!$H$4:$K$269,4,FALSE)</f>
        <v>Adamsons</v>
      </c>
      <c r="D186" s="9">
        <v>4618</v>
      </c>
      <c r="E186" s="9" t="s">
        <v>343</v>
      </c>
      <c r="F186" s="9" t="s">
        <v>30</v>
      </c>
      <c r="G186" s="9" t="s">
        <v>27</v>
      </c>
      <c r="H186" s="8" t="s">
        <v>20</v>
      </c>
      <c r="I186" s="10">
        <v>479900</v>
      </c>
      <c r="J186" s="10">
        <v>5184160</v>
      </c>
      <c r="K186" s="11">
        <v>-43.495220000000003</v>
      </c>
      <c r="L186" s="11">
        <v>146.75138999999999</v>
      </c>
      <c r="N186" s="8" t="s">
        <v>37</v>
      </c>
      <c r="P186" s="8">
        <v>1</v>
      </c>
    </row>
    <row r="187" spans="1:16" x14ac:dyDescent="0.15">
      <c r="A187" s="7" t="s">
        <v>344</v>
      </c>
      <c r="B187" s="9" t="str">
        <f>VLOOKUP(D187,[1]TASMaps!$H$4:$K$269,3,FALSE)</f>
        <v>TQ08</v>
      </c>
      <c r="C187" s="9" t="str">
        <f>VLOOKUP(D187,[1]TASMaps!$H$4:$K$269,4,FALSE)</f>
        <v>Wellington</v>
      </c>
      <c r="D187" s="9">
        <v>5025</v>
      </c>
      <c r="E187" s="9" t="s">
        <v>84</v>
      </c>
      <c r="F187" s="9" t="s">
        <v>23</v>
      </c>
      <c r="G187" s="9" t="s">
        <v>19</v>
      </c>
      <c r="H187" s="8" t="s">
        <v>20</v>
      </c>
      <c r="I187" s="10">
        <v>512200</v>
      </c>
      <c r="J187" s="10">
        <v>5252050</v>
      </c>
      <c r="K187" s="11">
        <v>-42.884050000000002</v>
      </c>
      <c r="L187" s="11">
        <v>147.14940000000001</v>
      </c>
      <c r="M187" s="8" t="s">
        <v>21</v>
      </c>
      <c r="N187" s="8" t="s">
        <v>37</v>
      </c>
      <c r="O187" s="8">
        <v>2</v>
      </c>
      <c r="P187" s="8">
        <v>2</v>
      </c>
    </row>
    <row r="188" spans="1:16" x14ac:dyDescent="0.15">
      <c r="A188" s="7" t="s">
        <v>345</v>
      </c>
      <c r="B188" s="9" t="str">
        <f>VLOOKUP(D188,[1]TASMaps!$H$4:$K$269,3,FALSE)</f>
        <v>TQ08</v>
      </c>
      <c r="C188" s="9" t="str">
        <f>VLOOKUP(D188,[1]TASMaps!$H$4:$K$269,4,FALSE)</f>
        <v>Wellington</v>
      </c>
      <c r="D188" s="9">
        <v>5025</v>
      </c>
      <c r="E188" s="9" t="s">
        <v>84</v>
      </c>
      <c r="F188" s="9" t="s">
        <v>30</v>
      </c>
      <c r="G188" s="9" t="s">
        <v>19</v>
      </c>
      <c r="H188" s="8" t="s">
        <v>20</v>
      </c>
      <c r="I188" s="10">
        <v>511380</v>
      </c>
      <c r="J188" s="10">
        <v>5254680</v>
      </c>
      <c r="K188" s="11">
        <v>-42.860379999999999</v>
      </c>
      <c r="L188" s="11">
        <v>147.13929999999999</v>
      </c>
      <c r="N188" s="8" t="s">
        <v>37</v>
      </c>
      <c r="O188" s="8">
        <v>1</v>
      </c>
      <c r="P188" s="8">
        <v>2</v>
      </c>
    </row>
    <row r="189" spans="1:16" x14ac:dyDescent="0.15">
      <c r="A189" s="7" t="s">
        <v>346</v>
      </c>
      <c r="B189" s="9" t="str">
        <f>VLOOKUP(D189,[1]TASMaps!$H$4:$K$269,3,FALSE)</f>
        <v>TR06</v>
      </c>
      <c r="C189" s="9" t="str">
        <f>VLOOKUP(D189,[1]TASMaps!$H$4:$K$269,4,FALSE)</f>
        <v>Western Arthur</v>
      </c>
      <c r="D189" s="9">
        <v>4422</v>
      </c>
      <c r="E189" s="9" t="s">
        <v>139</v>
      </c>
      <c r="F189" s="9" t="s">
        <v>30</v>
      </c>
      <c r="G189" s="9" t="s">
        <v>27</v>
      </c>
      <c r="H189" s="8" t="s">
        <v>20</v>
      </c>
      <c r="I189" s="10">
        <v>443170</v>
      </c>
      <c r="J189" s="10">
        <v>5220370</v>
      </c>
      <c r="K189" s="11">
        <v>-43.167290000000001</v>
      </c>
      <c r="L189" s="11">
        <v>146.30087</v>
      </c>
      <c r="N189" s="8" t="s">
        <v>37</v>
      </c>
      <c r="O189" s="8">
        <v>2</v>
      </c>
      <c r="P189" s="8">
        <v>2</v>
      </c>
    </row>
    <row r="190" spans="1:16" x14ac:dyDescent="0.15">
      <c r="A190" s="9" t="s">
        <v>347</v>
      </c>
      <c r="B190" s="9" t="str">
        <f>VLOOKUP(D190,[1]TASMaps!$H$4:$K$269,3,FALSE)</f>
        <v>TR09</v>
      </c>
      <c r="C190" s="9" t="str">
        <f>VLOOKUP(D190,[1]TASMaps!$H$4:$K$269,4,FALSE)</f>
        <v>Tasman Peninsula</v>
      </c>
      <c r="D190" s="9">
        <v>5423</v>
      </c>
      <c r="E190" s="9" t="s">
        <v>348</v>
      </c>
      <c r="F190" s="9" t="s">
        <v>30</v>
      </c>
      <c r="G190" s="9" t="s">
        <v>83</v>
      </c>
      <c r="H190" s="8" t="s">
        <v>20</v>
      </c>
      <c r="I190" s="10">
        <v>553970</v>
      </c>
      <c r="J190" s="10">
        <v>5235130</v>
      </c>
      <c r="K190" s="11">
        <v>-43.034599999999998</v>
      </c>
      <c r="L190" s="11">
        <v>147.66251</v>
      </c>
      <c r="N190" s="8" t="s">
        <v>37</v>
      </c>
      <c r="P190" s="8">
        <v>1</v>
      </c>
    </row>
    <row r="191" spans="1:16" x14ac:dyDescent="0.15">
      <c r="A191" s="9" t="s">
        <v>349</v>
      </c>
      <c r="B191" s="9" t="str">
        <f>VLOOKUP(D191,[1]TASMaps!$H$4:$K$269,3,FALSE)</f>
        <v>TJ05</v>
      </c>
      <c r="C191" s="9" t="str">
        <f>VLOOKUP(D191,[1]TASMaps!$H$4:$K$269,4,FALSE)</f>
        <v>Emu River</v>
      </c>
      <c r="D191" s="9">
        <v>3842</v>
      </c>
      <c r="E191" s="9" t="s">
        <v>350</v>
      </c>
      <c r="F191" s="9" t="s">
        <v>18</v>
      </c>
      <c r="G191" s="9" t="s">
        <v>351</v>
      </c>
      <c r="H191" s="8" t="s">
        <v>20</v>
      </c>
      <c r="I191" s="10">
        <v>393650</v>
      </c>
      <c r="J191" s="10">
        <v>5422720</v>
      </c>
      <c r="K191" s="11">
        <v>-41.33999</v>
      </c>
      <c r="L191" s="11">
        <v>145.72891999999999</v>
      </c>
      <c r="N191" s="8" t="s">
        <v>37</v>
      </c>
      <c r="P191" s="8">
        <v>1</v>
      </c>
    </row>
    <row r="192" spans="1:16" x14ac:dyDescent="0.15">
      <c r="A192" s="9" t="s">
        <v>352</v>
      </c>
      <c r="B192" s="9" t="str">
        <f>VLOOKUP(D192,[1]TASMaps!$H$4:$K$269,3,FALSE)</f>
        <v>TQ06</v>
      </c>
      <c r="C192" s="9" t="str">
        <f>VLOOKUP(D192,[1]TASMaps!$H$4:$K$269,4,FALSE)</f>
        <v>Lake Pedder</v>
      </c>
      <c r="D192" s="9">
        <v>4224</v>
      </c>
      <c r="E192" s="9" t="s">
        <v>300</v>
      </c>
      <c r="F192" s="9" t="s">
        <v>104</v>
      </c>
      <c r="G192" s="9" t="s">
        <v>19</v>
      </c>
      <c r="H192" s="8" t="s">
        <v>20</v>
      </c>
      <c r="I192" s="10">
        <v>424400</v>
      </c>
      <c r="J192" s="10">
        <v>5241030</v>
      </c>
      <c r="K192" s="11">
        <v>-42.97963</v>
      </c>
      <c r="L192" s="11">
        <v>146.0728</v>
      </c>
      <c r="N192" s="8" t="s">
        <v>37</v>
      </c>
      <c r="P192" s="8">
        <v>2</v>
      </c>
    </row>
    <row r="193" spans="1:16" x14ac:dyDescent="0.15">
      <c r="A193" s="9" t="s">
        <v>353</v>
      </c>
      <c r="B193" s="9" t="str">
        <f>VLOOKUP(D193,[1]TASMaps!$H$4:$K$269,3,FALSE)</f>
        <v>TN05</v>
      </c>
      <c r="C193" s="9" t="str">
        <f>VLOOKUP(D193,[1]TASMaps!$H$4:$K$269,4,FALSE)</f>
        <v>Frenchmans</v>
      </c>
      <c r="D193" s="9">
        <v>3832</v>
      </c>
      <c r="E193" s="9" t="s">
        <v>235</v>
      </c>
      <c r="F193" s="9" t="s">
        <v>23</v>
      </c>
      <c r="G193" s="9" t="s">
        <v>24</v>
      </c>
      <c r="H193" s="8" t="s">
        <v>20</v>
      </c>
      <c r="I193" s="10">
        <v>383740</v>
      </c>
      <c r="J193" s="10">
        <v>5324060</v>
      </c>
      <c r="K193" s="11">
        <v>-42.226990000000001</v>
      </c>
      <c r="L193" s="11">
        <v>145.59119000000001</v>
      </c>
      <c r="N193" s="8" t="s">
        <v>37</v>
      </c>
      <c r="P193" s="8">
        <v>1</v>
      </c>
    </row>
    <row r="194" spans="1:16" x14ac:dyDescent="0.15">
      <c r="A194" s="7" t="s">
        <v>354</v>
      </c>
      <c r="B194" s="9" t="str">
        <f>VLOOKUP(D194,[1]TASMaps!$H$4:$K$269,3,FALSE)</f>
        <v>TP06</v>
      </c>
      <c r="C194" s="9" t="str">
        <f>VLOOKUP(D194,[1]TASMaps!$H$4:$K$269,4,FALSE)</f>
        <v>Denison Range</v>
      </c>
      <c r="D194" s="9">
        <v>4229</v>
      </c>
      <c r="E194" s="9" t="s">
        <v>128</v>
      </c>
      <c r="F194" s="9" t="s">
        <v>30</v>
      </c>
      <c r="G194" s="9" t="s">
        <v>19</v>
      </c>
      <c r="H194" s="8" t="s">
        <v>20</v>
      </c>
      <c r="I194" s="10">
        <v>430670</v>
      </c>
      <c r="J194" s="10">
        <v>5291130</v>
      </c>
      <c r="K194" s="11">
        <v>-42.5291</v>
      </c>
      <c r="L194" s="11">
        <v>146.15583000000001</v>
      </c>
      <c r="M194" s="8" t="s">
        <v>21</v>
      </c>
      <c r="N194" s="8">
        <v>2</v>
      </c>
      <c r="O194" s="8">
        <v>2</v>
      </c>
      <c r="P194" s="8">
        <v>4</v>
      </c>
    </row>
    <row r="195" spans="1:16" x14ac:dyDescent="0.15">
      <c r="A195" s="7" t="s">
        <v>355</v>
      </c>
      <c r="B195" s="9" t="str">
        <f>VLOOKUP(D195,[1]TASMaps!$H$4:$K$269,3,FALSE)</f>
        <v>TM09</v>
      </c>
      <c r="C195" s="9" t="str">
        <f>VLOOKUP(D195,[1]TASMaps!$H$4:$K$269,4,FALSE)</f>
        <v>Lake Leake</v>
      </c>
      <c r="D195" s="9">
        <v>5634</v>
      </c>
      <c r="E195" s="9" t="s">
        <v>356</v>
      </c>
      <c r="F195" s="9" t="s">
        <v>30</v>
      </c>
      <c r="G195" s="9" t="s">
        <v>78</v>
      </c>
      <c r="H195" s="8" t="s">
        <v>20</v>
      </c>
      <c r="I195" s="10">
        <v>561700</v>
      </c>
      <c r="J195" s="10">
        <v>5340820</v>
      </c>
      <c r="K195" s="11">
        <v>-42.082270000000001</v>
      </c>
      <c r="L195" s="11">
        <v>147.74597</v>
      </c>
      <c r="N195" s="8" t="s">
        <v>37</v>
      </c>
      <c r="P195" s="8">
        <v>1</v>
      </c>
    </row>
    <row r="196" spans="1:16" x14ac:dyDescent="0.15">
      <c r="A196" s="7" t="s">
        <v>355</v>
      </c>
      <c r="B196" s="9" t="str">
        <f>VLOOKUP(D196,[1]TASMaps!$H$4:$K$269,3,FALSE)</f>
        <v>TQ08</v>
      </c>
      <c r="C196" s="9" t="str">
        <f>VLOOKUP(D196,[1]TASMaps!$H$4:$K$269,4,FALSE)</f>
        <v>Wellington</v>
      </c>
      <c r="D196" s="9">
        <v>5025</v>
      </c>
      <c r="E196" s="9" t="s">
        <v>84</v>
      </c>
      <c r="F196" s="9" t="s">
        <v>30</v>
      </c>
      <c r="G196" s="9" t="s">
        <v>85</v>
      </c>
      <c r="H196" s="8" t="s">
        <v>20</v>
      </c>
      <c r="I196" s="10">
        <v>514400</v>
      </c>
      <c r="J196" s="10">
        <v>5252240</v>
      </c>
      <c r="K196" s="11">
        <v>-42.882300000000001</v>
      </c>
      <c r="L196" s="11">
        <v>147.17633000000001</v>
      </c>
      <c r="N196" s="8" t="s">
        <v>37</v>
      </c>
      <c r="O196" s="8">
        <v>1</v>
      </c>
      <c r="P196" s="8">
        <v>1</v>
      </c>
    </row>
    <row r="197" spans="1:16" x14ac:dyDescent="0.15">
      <c r="A197" s="7" t="s">
        <v>357</v>
      </c>
      <c r="B197" s="9" t="str">
        <f>VLOOKUP(D197,[1]TASMaps!$H$4:$K$269,3,FALSE)</f>
        <v>TL06</v>
      </c>
      <c r="C197" s="9" t="str">
        <f>VLOOKUP(D197,[1]TASMaps!$H$4:$K$269,4,FALSE)</f>
        <v>Jerusalem</v>
      </c>
      <c r="D197" s="9">
        <v>4236</v>
      </c>
      <c r="E197" s="9" t="s">
        <v>177</v>
      </c>
      <c r="F197" s="9" t="s">
        <v>18</v>
      </c>
      <c r="G197" s="9" t="s">
        <v>33</v>
      </c>
      <c r="H197" s="8" t="s">
        <v>20</v>
      </c>
      <c r="I197" s="10">
        <v>431190</v>
      </c>
      <c r="J197" s="10">
        <v>5360510</v>
      </c>
      <c r="K197" s="11">
        <v>-41.904359999999997</v>
      </c>
      <c r="L197" s="11">
        <v>146.17037999999999</v>
      </c>
      <c r="N197" s="8" t="s">
        <v>37</v>
      </c>
      <c r="P197" s="8">
        <v>1</v>
      </c>
    </row>
    <row r="198" spans="1:16" x14ac:dyDescent="0.15">
      <c r="A198" s="9" t="s">
        <v>358</v>
      </c>
      <c r="B198" s="9" t="str">
        <f>VLOOKUP(D198,[1]TASMaps!$H$4:$K$269,3,FALSE)</f>
        <v>TP05</v>
      </c>
      <c r="C198" s="9" t="str">
        <f>VLOOKUP(D198,[1]TASMaps!$H$4:$K$269,4,FALSE)</f>
        <v>Princess Range</v>
      </c>
      <c r="D198" s="9">
        <v>4029</v>
      </c>
      <c r="E198" s="9" t="s">
        <v>12</v>
      </c>
      <c r="F198" s="9" t="s">
        <v>23</v>
      </c>
      <c r="G198" s="9" t="s">
        <v>24</v>
      </c>
      <c r="H198" s="8" t="s">
        <v>20</v>
      </c>
      <c r="I198" s="10">
        <v>400640</v>
      </c>
      <c r="J198" s="10">
        <v>5290430</v>
      </c>
      <c r="K198" s="11">
        <v>-42.532130000000002</v>
      </c>
      <c r="L198" s="11">
        <v>145.79013</v>
      </c>
      <c r="N198" s="8" t="s">
        <v>37</v>
      </c>
      <c r="P198" s="8">
        <v>1</v>
      </c>
    </row>
    <row r="199" spans="1:16" x14ac:dyDescent="0.15">
      <c r="A199" s="9" t="s">
        <v>359</v>
      </c>
      <c r="B199" s="9" t="str">
        <f>VLOOKUP(D199,[1]TASMaps!$H$4:$K$269,3,FALSE)</f>
        <v>TS08</v>
      </c>
      <c r="C199" s="9" t="str">
        <f>VLOOKUP(D199,[1]TASMaps!$H$4:$K$269,4,FALSE)</f>
        <v>South Bruny</v>
      </c>
      <c r="D199" s="9">
        <v>5219</v>
      </c>
      <c r="E199" s="9" t="s">
        <v>109</v>
      </c>
      <c r="F199" s="9" t="s">
        <v>30</v>
      </c>
      <c r="G199" s="9" t="s">
        <v>110</v>
      </c>
      <c r="H199" s="8" t="s">
        <v>20</v>
      </c>
      <c r="I199" s="10">
        <v>526820</v>
      </c>
      <c r="J199" s="10">
        <v>5195350</v>
      </c>
      <c r="K199" s="11">
        <v>-43.39425</v>
      </c>
      <c r="L199" s="11">
        <v>147.33116999999999</v>
      </c>
      <c r="N199" s="8" t="s">
        <v>37</v>
      </c>
      <c r="P199" s="8">
        <v>1</v>
      </c>
    </row>
    <row r="200" spans="1:16" x14ac:dyDescent="0.15">
      <c r="A200" s="9" t="s">
        <v>360</v>
      </c>
      <c r="B200" s="9" t="str">
        <f>VLOOKUP(D200,[1]TASMaps!$H$4:$K$269,3,FALSE)</f>
        <v>TN06</v>
      </c>
      <c r="C200" s="9" t="str">
        <f>VLOOKUP(D200,[1]TASMaps!$H$4:$K$269,4,FALSE)</f>
        <v>King William</v>
      </c>
      <c r="D200" s="9">
        <v>4231</v>
      </c>
      <c r="E200" s="9" t="s">
        <v>361</v>
      </c>
      <c r="F200" s="9" t="s">
        <v>30</v>
      </c>
      <c r="G200" s="9" t="s">
        <v>36</v>
      </c>
      <c r="H200" s="8" t="s">
        <v>20</v>
      </c>
      <c r="I200" s="10">
        <v>430380</v>
      </c>
      <c r="J200" s="10">
        <v>5316960</v>
      </c>
      <c r="K200" s="11">
        <v>-42.296480000000003</v>
      </c>
      <c r="L200" s="11">
        <v>146.15543</v>
      </c>
      <c r="N200" s="8" t="s">
        <v>37</v>
      </c>
      <c r="P200" s="8">
        <v>1</v>
      </c>
    </row>
    <row r="201" spans="1:16" x14ac:dyDescent="0.15">
      <c r="A201" s="7" t="s">
        <v>362</v>
      </c>
      <c r="B201" s="9" t="str">
        <f>VLOOKUP(D201,[1]TASMaps!$H$4:$K$269,3,FALSE)</f>
        <v>TR06</v>
      </c>
      <c r="C201" s="9" t="str">
        <f>VLOOKUP(D201,[1]TASMaps!$H$4:$K$269,4,FALSE)</f>
        <v>Western Arthur</v>
      </c>
      <c r="D201" s="9">
        <v>4223</v>
      </c>
      <c r="E201" s="9" t="s">
        <v>318</v>
      </c>
      <c r="F201" s="9" t="s">
        <v>23</v>
      </c>
      <c r="G201" s="9" t="s">
        <v>27</v>
      </c>
      <c r="H201" s="8" t="s">
        <v>20</v>
      </c>
      <c r="I201" s="10">
        <v>425880</v>
      </c>
      <c r="J201" s="10">
        <v>5230305</v>
      </c>
      <c r="K201" s="11">
        <v>-43.076340000000002</v>
      </c>
      <c r="L201" s="11">
        <v>146.08951999999999</v>
      </c>
      <c r="N201" s="8" t="s">
        <v>37</v>
      </c>
      <c r="O201" s="8">
        <v>2</v>
      </c>
      <c r="P201" s="8">
        <v>2</v>
      </c>
    </row>
    <row r="202" spans="1:16" x14ac:dyDescent="0.15">
      <c r="A202" s="7" t="s">
        <v>363</v>
      </c>
      <c r="B202" s="9" t="str">
        <f>VLOOKUP(D202,[1]TASMaps!$H$4:$K$269,3,FALSE)</f>
        <v>TQ05</v>
      </c>
      <c r="C202" s="9" t="str">
        <f>VLOOKUP(D202,[1]TASMaps!$H$4:$K$269,4,FALSE)</f>
        <v>Dohertys</v>
      </c>
      <c r="D202" s="9">
        <v>4024</v>
      </c>
      <c r="E202" s="9" t="s">
        <v>364</v>
      </c>
      <c r="F202" s="9" t="s">
        <v>23</v>
      </c>
      <c r="G202" s="9" t="s">
        <v>19</v>
      </c>
      <c r="H202" s="8" t="s">
        <v>20</v>
      </c>
      <c r="I202" s="10">
        <v>419370</v>
      </c>
      <c r="J202" s="10">
        <v>5248440</v>
      </c>
      <c r="K202" s="11">
        <v>-42.912399999999998</v>
      </c>
      <c r="L202" s="11">
        <v>146.01218</v>
      </c>
      <c r="N202" s="8">
        <v>6</v>
      </c>
      <c r="O202" s="8">
        <v>6</v>
      </c>
      <c r="P202" s="8">
        <v>6</v>
      </c>
    </row>
    <row r="203" spans="1:16" x14ac:dyDescent="0.15">
      <c r="A203" s="7" t="s">
        <v>365</v>
      </c>
      <c r="B203" s="9" t="str">
        <f>VLOOKUP(D203,[1]TASMaps!$H$4:$K$269,3,FALSE)</f>
        <v>TQ06</v>
      </c>
      <c r="C203" s="9" t="str">
        <f>VLOOKUP(D203,[1]TASMaps!$H$4:$K$269,4,FALSE)</f>
        <v>Lake Pedder</v>
      </c>
      <c r="D203" s="9">
        <v>4225</v>
      </c>
      <c r="E203" s="9" t="s">
        <v>366</v>
      </c>
      <c r="F203" s="9" t="s">
        <v>104</v>
      </c>
      <c r="G203" s="9" t="s">
        <v>19</v>
      </c>
      <c r="H203" s="8" t="s">
        <v>20</v>
      </c>
      <c r="I203" s="10">
        <v>437200</v>
      </c>
      <c r="J203" s="10">
        <v>5250680</v>
      </c>
      <c r="K203" s="11">
        <v>-42.893900000000002</v>
      </c>
      <c r="L203" s="11">
        <v>146.23085</v>
      </c>
      <c r="N203" s="8" t="s">
        <v>37</v>
      </c>
      <c r="O203" s="8">
        <v>2</v>
      </c>
      <c r="P203" s="8">
        <v>2</v>
      </c>
    </row>
    <row r="204" spans="1:16" x14ac:dyDescent="0.15">
      <c r="A204" s="7" t="s">
        <v>367</v>
      </c>
      <c r="B204" s="9" t="str">
        <f>VLOOKUP(D204,[1]TASMaps!$H$4:$K$269,3,FALSE)</f>
        <v>TN05</v>
      </c>
      <c r="C204" s="9" t="str">
        <f>VLOOKUP(D204,[1]TASMaps!$H$4:$K$269,4,FALSE)</f>
        <v>Frenchmans</v>
      </c>
      <c r="D204" s="9">
        <v>4030</v>
      </c>
      <c r="E204" s="9" t="s">
        <v>368</v>
      </c>
      <c r="F204" s="9" t="s">
        <v>30</v>
      </c>
      <c r="G204" s="9" t="s">
        <v>24</v>
      </c>
      <c r="H204" s="8" t="s">
        <v>20</v>
      </c>
      <c r="I204" s="10">
        <v>406330</v>
      </c>
      <c r="J204" s="10">
        <v>5306130</v>
      </c>
      <c r="K204" s="11">
        <v>-42.391469999999998</v>
      </c>
      <c r="L204" s="11">
        <v>145.86197000000001</v>
      </c>
      <c r="N204" s="8" t="s">
        <v>37</v>
      </c>
      <c r="P204" s="8">
        <v>1</v>
      </c>
    </row>
    <row r="205" spans="1:16" x14ac:dyDescent="0.15">
      <c r="A205" s="7" t="s">
        <v>367</v>
      </c>
      <c r="B205" s="9" t="str">
        <f>VLOOKUP(D205,[1]TASMaps!$H$4:$K$269,3,FALSE)</f>
        <v>TS06</v>
      </c>
      <c r="C205" s="9" t="str">
        <f>VLOOKUP(D205,[1]TASMaps!$H$4:$K$269,4,FALSE)</f>
        <v>Bathurst</v>
      </c>
      <c r="D205" s="9">
        <v>4218</v>
      </c>
      <c r="E205" s="9" t="s">
        <v>237</v>
      </c>
      <c r="F205" s="9" t="s">
        <v>30</v>
      </c>
      <c r="G205" s="9" t="s">
        <v>27</v>
      </c>
      <c r="H205" s="8" t="s">
        <v>20</v>
      </c>
      <c r="I205" s="10">
        <v>438080</v>
      </c>
      <c r="J205" s="10">
        <v>5189130</v>
      </c>
      <c r="K205" s="11">
        <v>-43.448169999999998</v>
      </c>
      <c r="L205" s="11">
        <v>146.23473999999999</v>
      </c>
      <c r="N205" s="8">
        <v>3</v>
      </c>
      <c r="O205" s="8">
        <v>3</v>
      </c>
      <c r="P205" s="8">
        <v>3</v>
      </c>
    </row>
    <row r="206" spans="1:16" x14ac:dyDescent="0.15">
      <c r="A206" s="7" t="s">
        <v>369</v>
      </c>
      <c r="B206" s="9" t="str">
        <f>VLOOKUP(D206,[1]TASMaps!$H$4:$K$269,3,FALSE)</f>
        <v>TD10</v>
      </c>
      <c r="C206" s="9" t="str">
        <f>VLOOKUP(D206,[1]TASMaps!$H$4:$K$269,4,FALSE)</f>
        <v>Babel</v>
      </c>
      <c r="D206" s="9">
        <v>5955</v>
      </c>
      <c r="E206" s="9" t="s">
        <v>164</v>
      </c>
      <c r="F206" s="9" t="s">
        <v>23</v>
      </c>
      <c r="G206" s="9" t="s">
        <v>151</v>
      </c>
      <c r="H206" s="8" t="s">
        <v>20</v>
      </c>
      <c r="I206" s="10">
        <v>594080</v>
      </c>
      <c r="J206" s="10">
        <v>5559870</v>
      </c>
      <c r="K206" s="11">
        <v>-40.106209999999997</v>
      </c>
      <c r="L206" s="11">
        <v>148.10386</v>
      </c>
      <c r="N206" s="8" t="s">
        <v>37</v>
      </c>
      <c r="P206" s="8">
        <v>1</v>
      </c>
    </row>
    <row r="207" spans="1:16" x14ac:dyDescent="0.15">
      <c r="A207" s="9" t="s">
        <v>370</v>
      </c>
      <c r="B207" s="9" t="str">
        <f>VLOOKUP(D207,[1]TASMaps!$H$4:$K$269,3,FALSE)</f>
        <v>TK05</v>
      </c>
      <c r="C207" s="9" t="str">
        <f>VLOOKUP(D207,[1]TASMaps!$H$4:$K$269,4,FALSE)</f>
        <v>Black Bluff</v>
      </c>
      <c r="D207" s="9">
        <v>4039</v>
      </c>
      <c r="E207" s="9" t="s">
        <v>99</v>
      </c>
      <c r="F207" s="9" t="s">
        <v>18</v>
      </c>
      <c r="G207" s="9" t="s">
        <v>142</v>
      </c>
      <c r="H207" s="8" t="s">
        <v>20</v>
      </c>
      <c r="I207" s="10">
        <v>413900</v>
      </c>
      <c r="J207" s="10">
        <v>5397400</v>
      </c>
      <c r="K207" s="11">
        <v>-41.570439999999998</v>
      </c>
      <c r="L207" s="11">
        <v>145.96728999999999</v>
      </c>
      <c r="N207" s="8" t="s">
        <v>37</v>
      </c>
      <c r="P207" s="8">
        <v>1</v>
      </c>
    </row>
    <row r="208" spans="1:16" x14ac:dyDescent="0.15">
      <c r="A208" s="9" t="s">
        <v>371</v>
      </c>
      <c r="B208" s="9" t="str">
        <f>VLOOKUP(D208,[1]TASMaps!$H$4:$K$269,3,FALSE)</f>
        <v>TS07</v>
      </c>
      <c r="C208" s="9" t="str">
        <f>VLOOKUP(D208,[1]TASMaps!$H$4:$K$269,4,FALSE)</f>
        <v>Adamsons</v>
      </c>
      <c r="D208" s="9">
        <v>4820</v>
      </c>
      <c r="E208" s="9" t="s">
        <v>39</v>
      </c>
      <c r="F208" s="9" t="s">
        <v>30</v>
      </c>
      <c r="G208" s="9" t="s">
        <v>27</v>
      </c>
      <c r="H208" s="8" t="s">
        <v>20</v>
      </c>
      <c r="I208" s="10">
        <v>485290</v>
      </c>
      <c r="J208" s="10">
        <v>5200080</v>
      </c>
      <c r="K208" s="11">
        <v>-43.351990000000001</v>
      </c>
      <c r="L208" s="11">
        <v>146.81849</v>
      </c>
      <c r="N208" s="8" t="s">
        <v>37</v>
      </c>
      <c r="P208" s="8">
        <v>1</v>
      </c>
    </row>
    <row r="209" spans="1:16" x14ac:dyDescent="0.15">
      <c r="A209" s="9" t="s">
        <v>372</v>
      </c>
      <c r="B209" s="9" t="str">
        <f>VLOOKUP(D209,[1]TASMaps!$H$4:$K$269,3,FALSE)</f>
        <v>TL09</v>
      </c>
      <c r="C209" s="9" t="str">
        <f>VLOOKUP(D209,[1]TASMaps!$H$4:$K$269,4,FALSE)</f>
        <v>Avoca</v>
      </c>
      <c r="D209" s="9">
        <v>5637</v>
      </c>
      <c r="E209" s="9" t="s">
        <v>373</v>
      </c>
      <c r="F209" s="9" t="s">
        <v>30</v>
      </c>
      <c r="G209" s="9" t="s">
        <v>44</v>
      </c>
      <c r="H209" s="8" t="s">
        <v>20</v>
      </c>
      <c r="I209" s="10">
        <v>578360</v>
      </c>
      <c r="J209" s="10">
        <v>5375960</v>
      </c>
      <c r="K209" s="11">
        <v>-41.764330000000001</v>
      </c>
      <c r="L209" s="11">
        <v>147.9427</v>
      </c>
      <c r="N209" s="8" t="s">
        <v>37</v>
      </c>
      <c r="P209" s="8">
        <v>1</v>
      </c>
    </row>
    <row r="210" spans="1:16" x14ac:dyDescent="0.15">
      <c r="A210" s="7" t="s">
        <v>374</v>
      </c>
      <c r="B210" s="9" t="str">
        <f>VLOOKUP(D210,[1]TASMaps!$H$4:$K$269,3,FALSE)</f>
        <v>TN05</v>
      </c>
      <c r="C210" s="9" t="str">
        <f>VLOOKUP(D210,[1]TASMaps!$H$4:$K$269,4,FALSE)</f>
        <v>Frenchmans</v>
      </c>
      <c r="D210" s="9">
        <v>3830</v>
      </c>
      <c r="E210" s="9" t="s">
        <v>375</v>
      </c>
      <c r="F210" s="9" t="s">
        <v>18</v>
      </c>
      <c r="G210" s="9" t="s">
        <v>24</v>
      </c>
      <c r="H210" s="8" t="s">
        <v>20</v>
      </c>
      <c r="I210" s="10">
        <v>393770</v>
      </c>
      <c r="J210" s="10">
        <v>5303720</v>
      </c>
      <c r="K210" s="11">
        <v>-42.411560000000001</v>
      </c>
      <c r="L210" s="11">
        <v>145.70895999999999</v>
      </c>
      <c r="N210" s="8" t="s">
        <v>37</v>
      </c>
      <c r="O210" s="8">
        <v>2</v>
      </c>
      <c r="P210" s="8">
        <v>2</v>
      </c>
    </row>
    <row r="211" spans="1:16" x14ac:dyDescent="0.15">
      <c r="A211" s="9" t="s">
        <v>376</v>
      </c>
      <c r="B211" s="9" t="str">
        <f>VLOOKUP(D211,[1]TASMaps!$H$4:$K$269,3,FALSE)</f>
        <v>TN05</v>
      </c>
      <c r="C211" s="9" t="str">
        <f>VLOOKUP(D211,[1]TASMaps!$H$4:$K$269,4,FALSE)</f>
        <v>Frenchmans</v>
      </c>
      <c r="D211" s="9">
        <v>3830</v>
      </c>
      <c r="E211" s="9" t="s">
        <v>375</v>
      </c>
      <c r="F211" s="9" t="s">
        <v>30</v>
      </c>
      <c r="G211" s="9" t="s">
        <v>24</v>
      </c>
      <c r="H211" s="8" t="s">
        <v>20</v>
      </c>
      <c r="I211" s="10">
        <v>392741</v>
      </c>
      <c r="J211" s="10">
        <v>5304920</v>
      </c>
      <c r="K211" s="11">
        <v>-42.40061</v>
      </c>
      <c r="L211" s="11">
        <v>145.69667999999999</v>
      </c>
      <c r="N211" s="8" t="s">
        <v>37</v>
      </c>
      <c r="P211" s="8">
        <v>1</v>
      </c>
    </row>
    <row r="212" spans="1:16" x14ac:dyDescent="0.15">
      <c r="A212" s="7" t="s">
        <v>377</v>
      </c>
      <c r="B212" s="9" t="str">
        <f>VLOOKUP(D212,[1]TASMaps!$H$4:$K$269,3,FALSE)</f>
        <v>TM08</v>
      </c>
      <c r="C212" s="9" t="str">
        <f>VLOOKUP(D212,[1]TASMaps!$H$4:$K$269,4,FALSE)</f>
        <v>Dogs Head Tier</v>
      </c>
      <c r="D212" s="9">
        <v>5034</v>
      </c>
      <c r="E212" s="9" t="s">
        <v>378</v>
      </c>
      <c r="F212" s="9" t="s">
        <v>18</v>
      </c>
      <c r="G212" s="9" t="s">
        <v>36</v>
      </c>
      <c r="H212" s="8" t="s">
        <v>20</v>
      </c>
      <c r="I212" s="10">
        <v>515010</v>
      </c>
      <c r="J212" s="10">
        <v>5343410</v>
      </c>
      <c r="K212" s="11">
        <v>-42.061230000000002</v>
      </c>
      <c r="L212" s="11">
        <v>147.18142</v>
      </c>
      <c r="N212" s="8" t="s">
        <v>37</v>
      </c>
      <c r="P212" s="8">
        <v>1</v>
      </c>
    </row>
    <row r="213" spans="1:16" x14ac:dyDescent="0.15">
      <c r="A213" s="7" t="s">
        <v>379</v>
      </c>
      <c r="B213" s="9" t="str">
        <f>VLOOKUP(D213,[1]TASMaps!$H$4:$K$269,3,FALSE)</f>
        <v>TL05</v>
      </c>
      <c r="C213" s="9" t="str">
        <f>VLOOKUP(D213,[1]TASMaps!$H$4:$K$269,4,FALSE)</f>
        <v>Murchison</v>
      </c>
      <c r="D213" s="9">
        <v>4038</v>
      </c>
      <c r="E213" s="9" t="s">
        <v>90</v>
      </c>
      <c r="F213" s="9" t="s">
        <v>30</v>
      </c>
      <c r="G213" s="9" t="s">
        <v>24</v>
      </c>
      <c r="H213" s="8" t="s">
        <v>20</v>
      </c>
      <c r="I213" s="10">
        <v>412730</v>
      </c>
      <c r="J213" s="10">
        <v>5384690</v>
      </c>
      <c r="K213" s="11">
        <v>-41.684780000000003</v>
      </c>
      <c r="L213" s="11">
        <v>145.95140000000001</v>
      </c>
      <c r="M213" s="8" t="s">
        <v>21</v>
      </c>
      <c r="N213" s="8">
        <v>4</v>
      </c>
      <c r="O213" s="8">
        <v>4</v>
      </c>
      <c r="P213" s="8">
        <v>3</v>
      </c>
    </row>
    <row r="214" spans="1:16" x14ac:dyDescent="0.15">
      <c r="A214" s="9" t="s">
        <v>380</v>
      </c>
      <c r="B214" s="9" t="str">
        <f>VLOOKUP(D214,[1]TASMaps!$H$4:$K$269,3,FALSE)</f>
        <v>TH05</v>
      </c>
      <c r="C214" s="9" t="str">
        <f>VLOOKUP(D214,[1]TASMaps!$H$4:$K$269,4,FALSE)</f>
        <v>Table Cape</v>
      </c>
      <c r="D214" s="9">
        <v>3646</v>
      </c>
      <c r="E214" s="9" t="s">
        <v>381</v>
      </c>
      <c r="F214" s="9" t="s">
        <v>23</v>
      </c>
      <c r="G214" s="9" t="s">
        <v>107</v>
      </c>
      <c r="H214" s="8" t="s">
        <v>20</v>
      </c>
      <c r="I214" s="10">
        <v>373750</v>
      </c>
      <c r="J214" s="10">
        <v>5461900</v>
      </c>
      <c r="K214" s="11">
        <v>-40.984310000000001</v>
      </c>
      <c r="L214" s="11">
        <v>145.49922000000001</v>
      </c>
      <c r="N214" s="8" t="s">
        <v>37</v>
      </c>
      <c r="P214" s="8">
        <v>1</v>
      </c>
    </row>
    <row r="215" spans="1:16" x14ac:dyDescent="0.15">
      <c r="A215" s="7" t="s">
        <v>382</v>
      </c>
      <c r="B215" s="9" t="str">
        <f>VLOOKUP(D215,[1]TASMaps!$H$4:$K$269,3,FALSE)</f>
        <v>TR06</v>
      </c>
      <c r="C215" s="9" t="str">
        <f>VLOOKUP(D215,[1]TASMaps!$H$4:$K$269,4,FALSE)</f>
        <v>Western Arthur</v>
      </c>
      <c r="D215" s="9">
        <v>4421</v>
      </c>
      <c r="E215" s="9" t="s">
        <v>46</v>
      </c>
      <c r="F215" s="9" t="s">
        <v>30</v>
      </c>
      <c r="G215" s="9" t="s">
        <v>27</v>
      </c>
      <c r="H215" s="8" t="s">
        <v>20</v>
      </c>
      <c r="I215" s="10">
        <v>452030</v>
      </c>
      <c r="J215" s="10">
        <v>5217590</v>
      </c>
      <c r="K215" s="11">
        <v>-43.19294</v>
      </c>
      <c r="L215" s="11">
        <v>146.40961999999999</v>
      </c>
      <c r="N215" s="8" t="s">
        <v>37</v>
      </c>
      <c r="P215" s="8">
        <v>1</v>
      </c>
    </row>
    <row r="216" spans="1:16" x14ac:dyDescent="0.15">
      <c r="A216" s="7" t="s">
        <v>383</v>
      </c>
      <c r="B216" s="9" t="str">
        <f>VLOOKUP(D216,[1]TASMaps!$H$4:$K$269,3,FALSE)</f>
        <v>TQ08</v>
      </c>
      <c r="C216" s="9" t="str">
        <f>VLOOKUP(D216,[1]TASMaps!$H$4:$K$269,4,FALSE)</f>
        <v>Wellington</v>
      </c>
      <c r="D216" s="9">
        <v>5225</v>
      </c>
      <c r="E216" s="9" t="s">
        <v>384</v>
      </c>
      <c r="F216" s="9" t="s">
        <v>18</v>
      </c>
      <c r="G216" s="9" t="s">
        <v>385</v>
      </c>
      <c r="H216" s="8" t="s">
        <v>20</v>
      </c>
      <c r="I216" s="10">
        <v>533400</v>
      </c>
      <c r="J216" s="10">
        <v>5259770</v>
      </c>
      <c r="K216" s="11">
        <v>-42.813899999999997</v>
      </c>
      <c r="L216" s="11">
        <v>147.40853999999999</v>
      </c>
      <c r="N216" s="8" t="s">
        <v>37</v>
      </c>
      <c r="P216" s="8">
        <v>1</v>
      </c>
    </row>
    <row r="217" spans="1:16" x14ac:dyDescent="0.15">
      <c r="A217" s="7" t="s">
        <v>386</v>
      </c>
      <c r="B217" s="9" t="str">
        <f>VLOOKUP(D217,[1]TASMaps!$H$4:$K$269,3,FALSE)</f>
        <v>TL07</v>
      </c>
      <c r="C217" s="9" t="str">
        <f>VLOOKUP(D217,[1]TASMaps!$H$4:$K$269,4,FALSE)</f>
        <v>Breton</v>
      </c>
      <c r="D217" s="9">
        <v>4836</v>
      </c>
      <c r="E217" s="9" t="s">
        <v>168</v>
      </c>
      <c r="F217" s="9" t="s">
        <v>18</v>
      </c>
      <c r="G217" s="9" t="s">
        <v>36</v>
      </c>
      <c r="H217" s="8" t="s">
        <v>20</v>
      </c>
      <c r="I217" s="10">
        <v>483040</v>
      </c>
      <c r="J217" s="10">
        <v>5364020</v>
      </c>
      <c r="K217" s="11">
        <v>-41.87556</v>
      </c>
      <c r="L217" s="11">
        <v>146.79561000000001</v>
      </c>
      <c r="N217" s="8" t="s">
        <v>37</v>
      </c>
      <c r="P217" s="8">
        <v>1</v>
      </c>
    </row>
    <row r="218" spans="1:16" x14ac:dyDescent="0.15">
      <c r="A218" s="7" t="s">
        <v>387</v>
      </c>
      <c r="B218" s="9" t="str">
        <f>VLOOKUP(D218,[1]TASMaps!$H$4:$K$269,3,FALSE)</f>
        <v>TL05</v>
      </c>
      <c r="C218" s="9" t="str">
        <f>VLOOKUP(D218,[1]TASMaps!$H$4:$K$269,4,FALSE)</f>
        <v>Murchison</v>
      </c>
      <c r="D218" s="9">
        <v>4038</v>
      </c>
      <c r="E218" s="9" t="s">
        <v>90</v>
      </c>
      <c r="F218" s="9" t="s">
        <v>23</v>
      </c>
      <c r="G218" s="9" t="s">
        <v>142</v>
      </c>
      <c r="H218" s="8" t="s">
        <v>20</v>
      </c>
      <c r="I218" s="10">
        <v>411740</v>
      </c>
      <c r="J218" s="10">
        <v>5387460</v>
      </c>
      <c r="K218" s="11">
        <v>-41.659730000000003</v>
      </c>
      <c r="L218" s="11">
        <v>145.93992</v>
      </c>
      <c r="N218" s="8" t="s">
        <v>37</v>
      </c>
      <c r="P218" s="8">
        <v>1</v>
      </c>
    </row>
    <row r="219" spans="1:16" x14ac:dyDescent="0.15">
      <c r="A219" s="9" t="s">
        <v>388</v>
      </c>
      <c r="B219" s="9" t="str">
        <f>VLOOKUP(D219,[1]TASMaps!$H$4:$K$269,3,FALSE)</f>
        <v>TR09</v>
      </c>
      <c r="C219" s="9" t="str">
        <f>VLOOKUP(D219,[1]TASMaps!$H$4:$K$269,4,FALSE)</f>
        <v>Tasman Peninsula</v>
      </c>
      <c r="D219" s="9">
        <v>5721</v>
      </c>
      <c r="E219" s="9" t="s">
        <v>83</v>
      </c>
      <c r="F219" s="9" t="s">
        <v>30</v>
      </c>
      <c r="G219" s="9" t="s">
        <v>83</v>
      </c>
      <c r="H219" s="8" t="s">
        <v>20</v>
      </c>
      <c r="I219" s="10">
        <v>574860</v>
      </c>
      <c r="J219" s="10">
        <v>5218760</v>
      </c>
      <c r="K219" s="11">
        <v>-43.180219999999998</v>
      </c>
      <c r="L219" s="11">
        <v>147.92113000000001</v>
      </c>
      <c r="N219" s="8" t="s">
        <v>37</v>
      </c>
      <c r="P219" s="8">
        <v>1</v>
      </c>
    </row>
    <row r="220" spans="1:16" x14ac:dyDescent="0.15">
      <c r="A220" s="7" t="s">
        <v>389</v>
      </c>
      <c r="B220" s="9" t="str">
        <f>VLOOKUP(D220,[1]TASMaps!$H$4:$K$269,3,FALSE)</f>
        <v>TS07</v>
      </c>
      <c r="C220" s="9" t="str">
        <f>VLOOKUP(D220,[1]TASMaps!$H$4:$K$269,4,FALSE)</f>
        <v>Adamsons</v>
      </c>
      <c r="D220" s="9">
        <v>4620</v>
      </c>
      <c r="E220" s="9" t="s">
        <v>212</v>
      </c>
      <c r="F220" s="9" t="s">
        <v>104</v>
      </c>
      <c r="G220" s="9" t="s">
        <v>27</v>
      </c>
      <c r="H220" s="8" t="s">
        <v>20</v>
      </c>
      <c r="I220" s="10">
        <v>460600</v>
      </c>
      <c r="J220" s="10">
        <v>5207270</v>
      </c>
      <c r="K220" s="11">
        <v>-43.286360000000002</v>
      </c>
      <c r="L220" s="11">
        <v>146.51435000000001</v>
      </c>
      <c r="N220" s="8" t="s">
        <v>37</v>
      </c>
      <c r="O220" s="8">
        <v>3</v>
      </c>
      <c r="P220" s="8">
        <v>3</v>
      </c>
    </row>
    <row r="221" spans="1:16" x14ac:dyDescent="0.15">
      <c r="A221" s="7" t="s">
        <v>390</v>
      </c>
      <c r="B221" s="9" t="str">
        <f>VLOOKUP(D221,[1]TASMaps!$H$4:$K$269,3,FALSE)</f>
        <v>TK05</v>
      </c>
      <c r="C221" s="9" t="str">
        <f>VLOOKUP(D221,[1]TASMaps!$H$4:$K$269,4,FALSE)</f>
        <v>Black Bluff</v>
      </c>
      <c r="D221" s="9">
        <v>3839</v>
      </c>
      <c r="E221" s="9" t="s">
        <v>309</v>
      </c>
      <c r="F221" s="9" t="s">
        <v>30</v>
      </c>
      <c r="G221" s="9" t="s">
        <v>117</v>
      </c>
      <c r="H221" s="8" t="s">
        <v>20</v>
      </c>
      <c r="I221" s="10">
        <v>397160</v>
      </c>
      <c r="J221" s="10">
        <v>5396090</v>
      </c>
      <c r="K221" s="11">
        <v>-41.580260000000003</v>
      </c>
      <c r="L221" s="11">
        <v>145.76632000000001</v>
      </c>
      <c r="N221" s="8" t="s">
        <v>37</v>
      </c>
      <c r="O221" s="8">
        <v>1</v>
      </c>
      <c r="P221" s="8">
        <v>1</v>
      </c>
    </row>
    <row r="222" spans="1:16" x14ac:dyDescent="0.15">
      <c r="A222" s="9" t="s">
        <v>391</v>
      </c>
      <c r="B222" s="9" t="str">
        <f>VLOOKUP(D222,[1]TASMaps!$H$4:$K$269,3,FALSE)</f>
        <v>TP07</v>
      </c>
      <c r="C222" s="9" t="str">
        <f>VLOOKUP(D222,[1]TASMaps!$H$4:$K$269,4,FALSE)</f>
        <v>Meadowbank</v>
      </c>
      <c r="D222" s="9">
        <v>4627</v>
      </c>
      <c r="E222" s="9" t="s">
        <v>233</v>
      </c>
      <c r="F222" s="9" t="s">
        <v>30</v>
      </c>
      <c r="G222" s="9" t="s">
        <v>19</v>
      </c>
      <c r="H222" s="8" t="s">
        <v>20</v>
      </c>
      <c r="I222" s="10">
        <v>467820</v>
      </c>
      <c r="J222" s="10">
        <v>5277340</v>
      </c>
      <c r="K222" s="11">
        <v>-42.655729999999998</v>
      </c>
      <c r="L222" s="11">
        <v>146.60738000000001</v>
      </c>
      <c r="N222" s="8" t="s">
        <v>37</v>
      </c>
      <c r="P222" s="8">
        <v>1</v>
      </c>
    </row>
    <row r="223" spans="1:16" x14ac:dyDescent="0.15">
      <c r="A223" s="7" t="s">
        <v>392</v>
      </c>
      <c r="B223" s="9" t="str">
        <f>VLOOKUP(D223,[1]TASMaps!$H$4:$K$269,3,FALSE)</f>
        <v>TJ09</v>
      </c>
      <c r="C223" s="9" t="str">
        <f>VLOOKUP(D223,[1]TASMaps!$H$4:$K$269,4,FALSE)</f>
        <v>Legerwood</v>
      </c>
      <c r="D223" s="9">
        <v>5443</v>
      </c>
      <c r="E223" s="9" t="s">
        <v>393</v>
      </c>
      <c r="F223" s="9" t="s">
        <v>18</v>
      </c>
      <c r="G223" s="9" t="s">
        <v>210</v>
      </c>
      <c r="H223" s="8" t="s">
        <v>20</v>
      </c>
      <c r="I223" s="10">
        <v>553400</v>
      </c>
      <c r="J223" s="10">
        <v>5434720</v>
      </c>
      <c r="K223" s="11">
        <v>-41.237160000000003</v>
      </c>
      <c r="L223" s="11">
        <v>147.63722999999999</v>
      </c>
      <c r="N223" s="8" t="s">
        <v>37</v>
      </c>
      <c r="P223" s="8">
        <v>1</v>
      </c>
    </row>
    <row r="224" spans="1:16" x14ac:dyDescent="0.15">
      <c r="A224" s="7" t="s">
        <v>394</v>
      </c>
      <c r="B224" s="9" t="str">
        <f>VLOOKUP(D224,[1]TASMaps!$H$4:$K$269,3,FALSE)</f>
        <v>TQ06</v>
      </c>
      <c r="C224" s="9" t="str">
        <f>VLOOKUP(D224,[1]TASMaps!$H$4:$K$269,4,FALSE)</f>
        <v>Lake Pedder</v>
      </c>
      <c r="D224" s="9">
        <v>4225</v>
      </c>
      <c r="E224" s="9" t="s">
        <v>366</v>
      </c>
      <c r="F224" s="9" t="s">
        <v>30</v>
      </c>
      <c r="G224" s="9" t="s">
        <v>19</v>
      </c>
      <c r="H224" s="8" t="s">
        <v>20</v>
      </c>
      <c r="I224" s="10">
        <v>432530</v>
      </c>
      <c r="J224" s="10">
        <v>5256980</v>
      </c>
      <c r="K224" s="11">
        <v>-42.836779999999997</v>
      </c>
      <c r="L224" s="11">
        <v>146.17442</v>
      </c>
      <c r="N224" s="8" t="s">
        <v>37</v>
      </c>
      <c r="O224" s="8">
        <v>1</v>
      </c>
      <c r="P224" s="8">
        <v>1</v>
      </c>
    </row>
    <row r="225" spans="1:16" x14ac:dyDescent="0.15">
      <c r="A225" s="7" t="s">
        <v>395</v>
      </c>
      <c r="B225" s="9" t="str">
        <f>VLOOKUP(D225,[1]TASMaps!$H$4:$K$269,3,FALSE)</f>
        <v>TP06</v>
      </c>
      <c r="C225" s="9" t="str">
        <f>VLOOKUP(D225,[1]TASMaps!$H$4:$K$269,4,FALSE)</f>
        <v>Denison Range</v>
      </c>
      <c r="D225" s="9">
        <v>4429</v>
      </c>
      <c r="E225" s="9" t="s">
        <v>218</v>
      </c>
      <c r="F225" s="9" t="s">
        <v>18</v>
      </c>
      <c r="G225" s="9" t="s">
        <v>36</v>
      </c>
      <c r="H225" s="8" t="s">
        <v>20</v>
      </c>
      <c r="I225" s="10">
        <v>449405</v>
      </c>
      <c r="J225" s="10">
        <v>5299365</v>
      </c>
      <c r="K225" s="11">
        <v>-42.456400000000002</v>
      </c>
      <c r="L225" s="11">
        <v>146.38466</v>
      </c>
      <c r="N225" s="8" t="s">
        <v>37</v>
      </c>
      <c r="P225" s="8">
        <v>1</v>
      </c>
    </row>
    <row r="226" spans="1:16" x14ac:dyDescent="0.15">
      <c r="A226" s="7" t="s">
        <v>396</v>
      </c>
      <c r="B226" s="9" t="str">
        <f>VLOOKUP(D226,[1]TASMaps!$H$4:$K$269,3,FALSE)</f>
        <v>TQ06</v>
      </c>
      <c r="C226" s="9" t="str">
        <f>VLOOKUP(D226,[1]TASMaps!$H$4:$K$269,4,FALSE)</f>
        <v>Lake Pedder</v>
      </c>
      <c r="D226" s="9">
        <v>4224</v>
      </c>
      <c r="E226" s="9" t="s">
        <v>300</v>
      </c>
      <c r="F226" s="9" t="s">
        <v>30</v>
      </c>
      <c r="G226" s="9" t="s">
        <v>19</v>
      </c>
      <c r="H226" s="8" t="s">
        <v>20</v>
      </c>
      <c r="I226" s="10">
        <v>422750</v>
      </c>
      <c r="J226" s="10">
        <v>5245540</v>
      </c>
      <c r="K226" s="11">
        <v>-42.938859999999998</v>
      </c>
      <c r="L226" s="11">
        <v>146.05319</v>
      </c>
      <c r="N226" s="8" t="s">
        <v>37</v>
      </c>
      <c r="O226" s="8">
        <v>2</v>
      </c>
      <c r="P226" s="8">
        <v>2</v>
      </c>
    </row>
    <row r="227" spans="1:16" x14ac:dyDescent="0.15">
      <c r="A227" s="7" t="s">
        <v>397</v>
      </c>
      <c r="B227" s="9" t="str">
        <f>VLOOKUP(D227,[1]TASMaps!$H$4:$K$269,3,FALSE)</f>
        <v>TL06</v>
      </c>
      <c r="C227" s="9" t="str">
        <f>VLOOKUP(D227,[1]TASMaps!$H$4:$K$269,4,FALSE)</f>
        <v>Jerusalem</v>
      </c>
      <c r="D227" s="9">
        <v>4236</v>
      </c>
      <c r="E227" s="9" t="s">
        <v>177</v>
      </c>
      <c r="F227" s="9" t="s">
        <v>30</v>
      </c>
      <c r="G227" s="9" t="s">
        <v>33</v>
      </c>
      <c r="H227" s="8" t="s">
        <v>20</v>
      </c>
      <c r="I227" s="10">
        <v>428450</v>
      </c>
      <c r="J227" s="10">
        <v>5365500</v>
      </c>
      <c r="K227" s="11">
        <v>-41.859169999999999</v>
      </c>
      <c r="L227" s="11">
        <v>146.13795999999999</v>
      </c>
      <c r="N227" s="8" t="s">
        <v>37</v>
      </c>
      <c r="P227" s="8">
        <v>1</v>
      </c>
    </row>
    <row r="228" spans="1:16" x14ac:dyDescent="0.15">
      <c r="A228" s="7" t="s">
        <v>398</v>
      </c>
      <c r="B228" s="9" t="str">
        <f>VLOOKUP(D228,[1]TASMaps!$H$4:$K$269,3,FALSE)</f>
        <v>TP06</v>
      </c>
      <c r="C228" s="9" t="str">
        <f>VLOOKUP(D228,[1]TASMaps!$H$4:$K$269,4,FALSE)</f>
        <v>Denison Range</v>
      </c>
      <c r="D228" s="9">
        <v>4229</v>
      </c>
      <c r="E228" s="9" t="s">
        <v>128</v>
      </c>
      <c r="F228" s="9" t="s">
        <v>30</v>
      </c>
      <c r="G228" s="9" t="s">
        <v>19</v>
      </c>
      <c r="H228" s="8" t="s">
        <v>20</v>
      </c>
      <c r="I228" s="10">
        <v>433000</v>
      </c>
      <c r="J228" s="10">
        <v>5291190</v>
      </c>
      <c r="K228" s="11">
        <v>-42.528770000000002</v>
      </c>
      <c r="L228" s="11">
        <v>146.18421000000001</v>
      </c>
      <c r="N228" s="8">
        <v>4</v>
      </c>
      <c r="O228" s="8">
        <v>4</v>
      </c>
      <c r="P228" s="8">
        <v>4</v>
      </c>
    </row>
    <row r="229" spans="1:16" x14ac:dyDescent="0.15">
      <c r="A229" s="9" t="s">
        <v>399</v>
      </c>
      <c r="B229" s="9" t="str">
        <f>VLOOKUP(D229,[1]TASMaps!$H$4:$K$269,3,FALSE)</f>
        <v>TS06</v>
      </c>
      <c r="C229" s="9" t="str">
        <f>VLOOKUP(D229,[1]TASMaps!$H$4:$K$269,4,FALSE)</f>
        <v>Bathurst</v>
      </c>
      <c r="D229" s="9">
        <v>4219</v>
      </c>
      <c r="E229" s="9" t="s">
        <v>400</v>
      </c>
      <c r="F229" s="9" t="s">
        <v>30</v>
      </c>
      <c r="G229" s="9" t="s">
        <v>27</v>
      </c>
      <c r="H229" s="8" t="s">
        <v>20</v>
      </c>
      <c r="I229" s="10">
        <v>422840</v>
      </c>
      <c r="J229" s="10">
        <v>5198430</v>
      </c>
      <c r="K229" s="11">
        <v>-43.363030000000002</v>
      </c>
      <c r="L229" s="11">
        <v>146.04773</v>
      </c>
      <c r="N229" s="8" t="s">
        <v>37</v>
      </c>
      <c r="P229" s="8">
        <v>1</v>
      </c>
    </row>
    <row r="230" spans="1:16" x14ac:dyDescent="0.15">
      <c r="A230" s="7" t="s">
        <v>401</v>
      </c>
      <c r="B230" s="9" t="str">
        <f>VLOOKUP(D230,[1]TASMaps!$H$4:$K$269,3,FALSE)</f>
        <v>TM05</v>
      </c>
      <c r="C230" s="9" t="str">
        <f>VLOOKUP(D230,[1]TASMaps!$H$4:$K$269,4,FALSE)</f>
        <v>Eldon</v>
      </c>
      <c r="D230" s="9">
        <v>4034</v>
      </c>
      <c r="E230" s="9" t="s">
        <v>270</v>
      </c>
      <c r="F230" s="9" t="s">
        <v>30</v>
      </c>
      <c r="G230" s="9" t="s">
        <v>36</v>
      </c>
      <c r="H230" s="8" t="s">
        <v>20</v>
      </c>
      <c r="I230" s="10">
        <v>419260</v>
      </c>
      <c r="J230" s="10">
        <v>5346970</v>
      </c>
      <c r="K230" s="11">
        <v>-42.02516</v>
      </c>
      <c r="L230" s="11">
        <v>146.02471</v>
      </c>
      <c r="M230" s="8" t="s">
        <v>21</v>
      </c>
      <c r="N230" s="8">
        <v>3</v>
      </c>
      <c r="O230" s="8">
        <v>3</v>
      </c>
      <c r="P230" s="8">
        <v>4</v>
      </c>
    </row>
    <row r="231" spans="1:16" x14ac:dyDescent="0.15">
      <c r="A231" s="9" t="s">
        <v>402</v>
      </c>
      <c r="B231" s="9" t="str">
        <f>VLOOKUP(D231,[1]TASMaps!$H$4:$K$269,3,FALSE)</f>
        <v>TR08</v>
      </c>
      <c r="C231" s="9" t="str">
        <f>VLOOKUP(D231,[1]TASMaps!$H$4:$K$269,4,FALSE)</f>
        <v>Channel</v>
      </c>
      <c r="D231" s="9">
        <v>5021</v>
      </c>
      <c r="E231" s="9" t="s">
        <v>403</v>
      </c>
      <c r="F231" s="9" t="s">
        <v>30</v>
      </c>
      <c r="G231" s="9" t="s">
        <v>27</v>
      </c>
      <c r="H231" s="8" t="s">
        <v>20</v>
      </c>
      <c r="I231" s="10">
        <v>513380</v>
      </c>
      <c r="J231" s="10">
        <v>5217470</v>
      </c>
      <c r="K231" s="11">
        <v>-43.195430000000002</v>
      </c>
      <c r="L231" s="11">
        <v>147.16468</v>
      </c>
      <c r="N231" s="8" t="s">
        <v>37</v>
      </c>
      <c r="P231" s="8">
        <v>1</v>
      </c>
    </row>
    <row r="232" spans="1:16" x14ac:dyDescent="0.15">
      <c r="A232" s="7" t="s">
        <v>404</v>
      </c>
      <c r="B232" s="9" t="str">
        <f>VLOOKUP(D232,[1]TASMaps!$H$4:$K$269,3,FALSE)</f>
        <v>TM05</v>
      </c>
      <c r="C232" s="9" t="str">
        <f>VLOOKUP(D232,[1]TASMaps!$H$4:$K$269,4,FALSE)</f>
        <v>Eldon</v>
      </c>
      <c r="D232" s="9">
        <v>3835</v>
      </c>
      <c r="E232" s="9" t="s">
        <v>126</v>
      </c>
      <c r="F232" s="9" t="s">
        <v>30</v>
      </c>
      <c r="G232" s="9" t="s">
        <v>24</v>
      </c>
      <c r="H232" s="8" t="s">
        <v>20</v>
      </c>
      <c r="I232" s="10">
        <v>381550</v>
      </c>
      <c r="J232" s="10">
        <v>5350790</v>
      </c>
      <c r="K232" s="11">
        <v>-41.985990000000001</v>
      </c>
      <c r="L232" s="11">
        <v>145.57007999999999</v>
      </c>
      <c r="N232" s="8" t="s">
        <v>37</v>
      </c>
      <c r="P232" s="8">
        <v>1</v>
      </c>
    </row>
    <row r="233" spans="1:16" x14ac:dyDescent="0.15">
      <c r="A233" s="7" t="s">
        <v>405</v>
      </c>
      <c r="B233" s="9" t="str">
        <f>VLOOKUP(D233,[1]TASMaps!$H$4:$K$269,3,FALSE)</f>
        <v>TN06</v>
      </c>
      <c r="C233" s="9" t="str">
        <f>VLOOKUP(D233,[1]TASMaps!$H$4:$K$269,4,FALSE)</f>
        <v>King William</v>
      </c>
      <c r="D233" s="9">
        <v>4432</v>
      </c>
      <c r="E233" s="9" t="s">
        <v>406</v>
      </c>
      <c r="F233" s="9" t="s">
        <v>30</v>
      </c>
      <c r="G233" s="9" t="s">
        <v>36</v>
      </c>
      <c r="H233" s="8" t="s">
        <v>20</v>
      </c>
      <c r="I233" s="10">
        <v>442490</v>
      </c>
      <c r="J233" s="10">
        <v>5328440</v>
      </c>
      <c r="K233" s="11">
        <v>-42.19408</v>
      </c>
      <c r="L233" s="11">
        <v>146.30346</v>
      </c>
      <c r="N233" s="8" t="s">
        <v>37</v>
      </c>
      <c r="O233" s="8">
        <v>1</v>
      </c>
      <c r="P233" s="8">
        <v>1</v>
      </c>
    </row>
    <row r="234" spans="1:16" x14ac:dyDescent="0.15">
      <c r="A234" s="7" t="s">
        <v>407</v>
      </c>
      <c r="B234" s="9" t="str">
        <f>VLOOKUP(D234,[1]TASMaps!$H$4:$K$269,3,FALSE)</f>
        <v>TN10</v>
      </c>
      <c r="C234" s="9" t="str">
        <f>VLOOKUP(D234,[1]TASMaps!$H$4:$K$269,4,FALSE)</f>
        <v>Great Oyster</v>
      </c>
      <c r="D234" s="9">
        <v>6031</v>
      </c>
      <c r="E234" s="9" t="s">
        <v>408</v>
      </c>
      <c r="F234" s="9" t="s">
        <v>30</v>
      </c>
      <c r="G234" s="9" t="s">
        <v>62</v>
      </c>
      <c r="H234" s="8" t="s">
        <v>20</v>
      </c>
      <c r="I234" s="10">
        <v>607360</v>
      </c>
      <c r="J234" s="10">
        <v>5313390</v>
      </c>
      <c r="K234" s="11">
        <v>-42.324330000000003</v>
      </c>
      <c r="L234" s="11">
        <v>148.30296999999999</v>
      </c>
      <c r="N234" s="8" t="s">
        <v>37</v>
      </c>
      <c r="O234" s="8">
        <v>1</v>
      </c>
      <c r="P234" s="8">
        <v>1</v>
      </c>
    </row>
    <row r="235" spans="1:16" x14ac:dyDescent="0.15">
      <c r="A235" s="7" t="s">
        <v>409</v>
      </c>
      <c r="B235" s="9" t="str">
        <f>VLOOKUP(D235,[1]TASMaps!$H$4:$K$269,3,FALSE)</f>
        <v>TN06</v>
      </c>
      <c r="C235" s="9" t="str">
        <f>VLOOKUP(D235,[1]TASMaps!$H$4:$K$269,4,FALSE)</f>
        <v>King William</v>
      </c>
      <c r="D235" s="9">
        <v>4430</v>
      </c>
      <c r="E235" s="9" t="s">
        <v>410</v>
      </c>
      <c r="F235" s="9" t="s">
        <v>23</v>
      </c>
      <c r="G235" s="9" t="s">
        <v>36</v>
      </c>
      <c r="H235" s="8" t="s">
        <v>20</v>
      </c>
      <c r="I235" s="10">
        <v>448500</v>
      </c>
      <c r="J235" s="10">
        <v>5300320</v>
      </c>
      <c r="K235" s="11">
        <v>-42.447740000000003</v>
      </c>
      <c r="L235" s="11">
        <v>146.37374</v>
      </c>
      <c r="N235" s="8" t="s">
        <v>37</v>
      </c>
      <c r="P235" s="8">
        <v>1</v>
      </c>
    </row>
    <row r="236" spans="1:16" x14ac:dyDescent="0.15">
      <c r="A236" s="7" t="s">
        <v>411</v>
      </c>
      <c r="B236" s="9" t="str">
        <f>VLOOKUP(D236,[1]TASMaps!$H$4:$K$269,3,FALSE)</f>
        <v>TN05</v>
      </c>
      <c r="C236" s="9" t="str">
        <f>VLOOKUP(D236,[1]TASMaps!$H$4:$K$269,4,FALSE)</f>
        <v>Frenchmans</v>
      </c>
      <c r="D236" s="9">
        <v>3832</v>
      </c>
      <c r="E236" s="9" t="s">
        <v>235</v>
      </c>
      <c r="F236" s="9" t="s">
        <v>30</v>
      </c>
      <c r="G236" s="9" t="s">
        <v>24</v>
      </c>
      <c r="H236" s="8" t="s">
        <v>20</v>
      </c>
      <c r="I236" s="10">
        <v>383330</v>
      </c>
      <c r="J236" s="10">
        <v>5320960</v>
      </c>
      <c r="K236" s="11">
        <v>-42.254840000000002</v>
      </c>
      <c r="L236" s="11">
        <v>145.5856</v>
      </c>
      <c r="N236" s="8" t="s">
        <v>37</v>
      </c>
      <c r="O236" s="8">
        <v>2</v>
      </c>
      <c r="P236" s="8">
        <v>2</v>
      </c>
    </row>
    <row r="237" spans="1:16" x14ac:dyDescent="0.15">
      <c r="A237" s="9" t="s">
        <v>412</v>
      </c>
      <c r="B237" s="9" t="str">
        <f>VLOOKUP(D237,[1]TASMaps!$H$4:$K$269,3,FALSE)</f>
        <v>TP07</v>
      </c>
      <c r="C237" s="9" t="str">
        <f>VLOOKUP(D237,[1]TASMaps!$H$4:$K$269,4,FALSE)</f>
        <v>Meadowbank</v>
      </c>
      <c r="D237" s="9">
        <v>4627</v>
      </c>
      <c r="E237" s="9" t="s">
        <v>233</v>
      </c>
      <c r="F237" s="9" t="s">
        <v>18</v>
      </c>
      <c r="G237" s="9" t="s">
        <v>36</v>
      </c>
      <c r="H237" s="8" t="s">
        <v>20</v>
      </c>
      <c r="I237" s="10">
        <v>468760</v>
      </c>
      <c r="J237" s="10">
        <v>5279290</v>
      </c>
      <c r="K237" s="11">
        <v>-42.638210000000001</v>
      </c>
      <c r="L237" s="11">
        <v>146.61895000000001</v>
      </c>
      <c r="N237" s="8" t="s">
        <v>37</v>
      </c>
      <c r="P237" s="8">
        <v>1</v>
      </c>
    </row>
    <row r="238" spans="1:16" x14ac:dyDescent="0.15">
      <c r="A238" s="7" t="s">
        <v>413</v>
      </c>
      <c r="B238" s="9" t="str">
        <f>VLOOKUP(D238,[1]TASMaps!$H$4:$K$269,3,FALSE)</f>
        <v>TP06</v>
      </c>
      <c r="C238" s="9" t="str">
        <f>VLOOKUP(D238,[1]TASMaps!$H$4:$K$269,4,FALSE)</f>
        <v>Denison Range</v>
      </c>
      <c r="D238" s="9">
        <v>4428</v>
      </c>
      <c r="E238" s="9" t="s">
        <v>414</v>
      </c>
      <c r="F238" s="9" t="s">
        <v>30</v>
      </c>
      <c r="G238" s="9" t="s">
        <v>36</v>
      </c>
      <c r="H238" s="8" t="s">
        <v>20</v>
      </c>
      <c r="I238" s="10">
        <v>458750</v>
      </c>
      <c r="J238" s="10">
        <v>5289550</v>
      </c>
      <c r="K238" s="11">
        <v>-42.545340000000003</v>
      </c>
      <c r="L238" s="11">
        <v>146.49761000000001</v>
      </c>
      <c r="N238" s="8" t="s">
        <v>37</v>
      </c>
      <c r="O238" s="8">
        <v>1</v>
      </c>
      <c r="P238" s="8">
        <v>2</v>
      </c>
    </row>
    <row r="239" spans="1:16" x14ac:dyDescent="0.15">
      <c r="A239" s="7" t="s">
        <v>415</v>
      </c>
      <c r="B239" s="9" t="str">
        <f>VLOOKUP(D239,[1]TASMaps!$H$4:$K$269,3,FALSE)</f>
        <v>TJ07</v>
      </c>
      <c r="C239" s="9" t="str">
        <f>VLOOKUP(D239,[1]TASMaps!$H$4:$K$269,4,FALSE)</f>
        <v>Dazzler</v>
      </c>
      <c r="D239" s="9">
        <v>4643</v>
      </c>
      <c r="E239" s="9" t="s">
        <v>416</v>
      </c>
      <c r="F239" s="9" t="s">
        <v>104</v>
      </c>
      <c r="G239" s="9" t="s">
        <v>93</v>
      </c>
      <c r="H239" s="8" t="s">
        <v>20</v>
      </c>
      <c r="I239" s="10">
        <v>476740</v>
      </c>
      <c r="J239" s="10">
        <v>5436090</v>
      </c>
      <c r="K239" s="11">
        <v>-41.226239999999997</v>
      </c>
      <c r="L239" s="11">
        <v>146.72247999999999</v>
      </c>
      <c r="N239" s="8" t="s">
        <v>37</v>
      </c>
      <c r="P239" s="8">
        <v>1</v>
      </c>
    </row>
    <row r="240" spans="1:16" x14ac:dyDescent="0.15">
      <c r="A240" s="7" t="s">
        <v>417</v>
      </c>
      <c r="B240" s="9" t="str">
        <f>VLOOKUP(D240,[1]TASMaps!$H$4:$K$269,3,FALSE)</f>
        <v>TJ07</v>
      </c>
      <c r="C240" s="9" t="str">
        <f>VLOOKUP(D240,[1]TASMaps!$H$4:$K$269,4,FALSE)</f>
        <v>Dazzler</v>
      </c>
      <c r="D240" s="9">
        <v>4643</v>
      </c>
      <c r="E240" s="9" t="s">
        <v>416</v>
      </c>
      <c r="F240" s="9" t="s">
        <v>30</v>
      </c>
      <c r="G240" s="9" t="s">
        <v>93</v>
      </c>
      <c r="H240" s="8" t="s">
        <v>20</v>
      </c>
      <c r="I240" s="10">
        <v>475280</v>
      </c>
      <c r="J240" s="10">
        <v>5438850</v>
      </c>
      <c r="K240" s="11">
        <v>-41.201340000000002</v>
      </c>
      <c r="L240" s="11">
        <v>146.70517000000001</v>
      </c>
      <c r="N240" s="8" t="s">
        <v>37</v>
      </c>
      <c r="P240" s="8">
        <v>1</v>
      </c>
    </row>
    <row r="241" spans="1:16" x14ac:dyDescent="0.15">
      <c r="A241" s="7" t="s">
        <v>418</v>
      </c>
      <c r="B241" s="9" t="str">
        <f>VLOOKUP(D241,[1]TASMaps!$H$4:$K$269,3,FALSE)</f>
        <v>TL06</v>
      </c>
      <c r="C241" s="9" t="str">
        <f>VLOOKUP(D241,[1]TASMaps!$H$4:$K$269,4,FALSE)</f>
        <v>Jerusalem</v>
      </c>
      <c r="D241" s="9">
        <v>4236</v>
      </c>
      <c r="E241" s="9" t="s">
        <v>177</v>
      </c>
      <c r="F241" s="9" t="s">
        <v>30</v>
      </c>
      <c r="G241" s="9" t="s">
        <v>33</v>
      </c>
      <c r="H241" s="8" t="s">
        <v>20</v>
      </c>
      <c r="I241" s="10">
        <v>428210</v>
      </c>
      <c r="J241" s="10">
        <v>5366500</v>
      </c>
      <c r="K241" s="11">
        <v>-41.850149999999999</v>
      </c>
      <c r="L241" s="11">
        <v>146.13518999999999</v>
      </c>
      <c r="N241" s="8" t="s">
        <v>37</v>
      </c>
      <c r="O241" s="8">
        <v>1</v>
      </c>
      <c r="P241" s="8">
        <v>1</v>
      </c>
    </row>
    <row r="242" spans="1:16" x14ac:dyDescent="0.15">
      <c r="A242" s="9" t="s">
        <v>419</v>
      </c>
      <c r="B242" s="9" t="str">
        <f>VLOOKUP(D242,[1]TASMaps!$H$4:$K$269,3,FALSE)</f>
        <v>TL06</v>
      </c>
      <c r="C242" s="9" t="str">
        <f>VLOOKUP(D242,[1]TASMaps!$H$4:$K$269,4,FALSE)</f>
        <v>Jerusalem</v>
      </c>
      <c r="D242" s="9">
        <v>4438</v>
      </c>
      <c r="E242" s="9" t="s">
        <v>124</v>
      </c>
      <c r="F242" s="9" t="s">
        <v>18</v>
      </c>
      <c r="G242" s="9" t="s">
        <v>33</v>
      </c>
      <c r="H242" s="8" t="s">
        <v>20</v>
      </c>
      <c r="I242" s="10">
        <v>441190</v>
      </c>
      <c r="J242" s="10">
        <v>5380790</v>
      </c>
      <c r="K242" s="11">
        <v>-41.722520000000003</v>
      </c>
      <c r="L242" s="11">
        <v>146.29294999999999</v>
      </c>
      <c r="N242" s="8" t="s">
        <v>37</v>
      </c>
      <c r="P242" s="8">
        <v>2</v>
      </c>
    </row>
    <row r="243" spans="1:16" x14ac:dyDescent="0.15">
      <c r="A243" s="9" t="s">
        <v>420</v>
      </c>
      <c r="B243" s="9" t="str">
        <f>VLOOKUP(D243,[1]TASMaps!$H$4:$K$269,3,FALSE)</f>
        <v>TL07</v>
      </c>
      <c r="C243" s="9" t="str">
        <f>VLOOKUP(D243,[1]TASMaps!$H$4:$K$269,4,FALSE)</f>
        <v>Breton</v>
      </c>
      <c r="D243" s="9">
        <v>4637</v>
      </c>
      <c r="E243" s="9" t="s">
        <v>35</v>
      </c>
      <c r="F243" s="9" t="s">
        <v>30</v>
      </c>
      <c r="G243" s="9" t="s">
        <v>36</v>
      </c>
      <c r="H243" s="8" t="s">
        <v>20</v>
      </c>
      <c r="I243" s="10">
        <v>477770</v>
      </c>
      <c r="J243" s="10">
        <v>5375700</v>
      </c>
      <c r="K243" s="11">
        <v>-41.770229999999998</v>
      </c>
      <c r="L243" s="11">
        <v>146.73254</v>
      </c>
      <c r="N243" s="8" t="s">
        <v>37</v>
      </c>
      <c r="P243" s="8">
        <v>1</v>
      </c>
    </row>
    <row r="244" spans="1:16" x14ac:dyDescent="0.15">
      <c r="A244" s="9" t="s">
        <v>421</v>
      </c>
      <c r="B244" s="9" t="str">
        <f>VLOOKUP(D244,[1]TASMaps!$H$4:$K$269,3,FALSE)</f>
        <v>TL09</v>
      </c>
      <c r="C244" s="9" t="str">
        <f>VLOOKUP(D244,[1]TASMaps!$H$4:$K$269,4,FALSE)</f>
        <v>Avoca</v>
      </c>
      <c r="D244" s="9">
        <v>5436</v>
      </c>
      <c r="E244" s="9" t="s">
        <v>422</v>
      </c>
      <c r="F244" s="9" t="s">
        <v>18</v>
      </c>
      <c r="G244" s="9" t="s">
        <v>78</v>
      </c>
      <c r="H244" s="8" t="s">
        <v>20</v>
      </c>
      <c r="I244" s="10">
        <v>553130</v>
      </c>
      <c r="J244" s="10">
        <v>5366030</v>
      </c>
      <c r="K244" s="11">
        <v>-41.855849999999997</v>
      </c>
      <c r="L244" s="11">
        <v>147.64008999999999</v>
      </c>
      <c r="N244" s="8" t="s">
        <v>37</v>
      </c>
      <c r="P244" s="8">
        <v>1</v>
      </c>
    </row>
    <row r="245" spans="1:16" x14ac:dyDescent="0.15">
      <c r="A245" s="7" t="s">
        <v>421</v>
      </c>
      <c r="B245" s="9" t="str">
        <f>VLOOKUP(D245,[1]TASMaps!$H$4:$K$269,3,FALSE)</f>
        <v>TN08</v>
      </c>
      <c r="C245" s="9" t="str">
        <f>VLOOKUP(D245,[1]TASMaps!$H$4:$K$269,4,FALSE)</f>
        <v>Tiberias</v>
      </c>
      <c r="D245" s="9">
        <v>5030</v>
      </c>
      <c r="E245" s="9" t="s">
        <v>166</v>
      </c>
      <c r="F245" s="9" t="s">
        <v>18</v>
      </c>
      <c r="G245" s="9" t="s">
        <v>36</v>
      </c>
      <c r="H245" s="8" t="s">
        <v>20</v>
      </c>
      <c r="I245" s="10">
        <v>506960</v>
      </c>
      <c r="J245" s="10">
        <v>5301150</v>
      </c>
      <c r="K245" s="11">
        <v>-42.441940000000002</v>
      </c>
      <c r="L245" s="11">
        <v>147.08463</v>
      </c>
      <c r="N245" s="8" t="s">
        <v>37</v>
      </c>
      <c r="P245" s="8">
        <v>1</v>
      </c>
    </row>
    <row r="246" spans="1:16" x14ac:dyDescent="0.15">
      <c r="A246" s="7" t="s">
        <v>423</v>
      </c>
      <c r="B246" s="9" t="str">
        <f>VLOOKUP(D246,[1]TASMaps!$H$4:$K$269,3,FALSE)</f>
        <v>TK09</v>
      </c>
      <c r="C246" s="9" t="str">
        <f>VLOOKUP(D246,[1]TASMaps!$H$4:$K$269,4,FALSE)</f>
        <v>Ben Lomond</v>
      </c>
      <c r="D246" s="9">
        <v>5439</v>
      </c>
      <c r="E246" s="9" t="s">
        <v>95</v>
      </c>
      <c r="F246" s="9" t="s">
        <v>30</v>
      </c>
      <c r="G246" s="9" t="s">
        <v>78</v>
      </c>
      <c r="H246" s="8" t="s">
        <v>20</v>
      </c>
      <c r="I246" s="10">
        <v>558255</v>
      </c>
      <c r="J246" s="10">
        <v>5392265</v>
      </c>
      <c r="K246" s="11">
        <v>-41.619210000000002</v>
      </c>
      <c r="L246" s="11">
        <v>147.69926000000001</v>
      </c>
      <c r="N246" s="8" t="s">
        <v>37</v>
      </c>
      <c r="P246" s="8">
        <v>1</v>
      </c>
    </row>
    <row r="247" spans="1:16" x14ac:dyDescent="0.15">
      <c r="A247" s="9" t="s">
        <v>424</v>
      </c>
      <c r="B247" s="9" t="str">
        <f>VLOOKUP(D247,[1]TASMaps!$H$4:$K$269,3,FALSE)</f>
        <v>TQ05</v>
      </c>
      <c r="C247" s="9" t="str">
        <f>VLOOKUP(D247,[1]TASMaps!$H$4:$K$269,4,FALSE)</f>
        <v>Dohertys</v>
      </c>
      <c r="D247" s="9">
        <v>4025</v>
      </c>
      <c r="E247" s="9" t="s">
        <v>425</v>
      </c>
      <c r="F247" s="9" t="s">
        <v>23</v>
      </c>
      <c r="G247" s="9" t="s">
        <v>19</v>
      </c>
      <c r="H247" s="8" t="s">
        <v>20</v>
      </c>
      <c r="I247" s="10">
        <v>418200</v>
      </c>
      <c r="J247" s="10">
        <v>5259370</v>
      </c>
      <c r="K247" s="11">
        <v>-42.813859999999998</v>
      </c>
      <c r="L247" s="11">
        <v>145.99943999999999</v>
      </c>
      <c r="N247" s="8" t="s">
        <v>37</v>
      </c>
      <c r="P247" s="8">
        <v>1</v>
      </c>
    </row>
    <row r="248" spans="1:16" x14ac:dyDescent="0.15">
      <c r="A248" s="7" t="s">
        <v>426</v>
      </c>
      <c r="B248" s="9" t="str">
        <f>VLOOKUP(D248,[1]TASMaps!$H$4:$K$269,3,FALSE)</f>
        <v>TH05</v>
      </c>
      <c r="C248" s="9" t="str">
        <f>VLOOKUP(D248,[1]TASMaps!$H$4:$K$269,4,FALSE)</f>
        <v>Table Cape</v>
      </c>
      <c r="D248" s="9">
        <v>3645</v>
      </c>
      <c r="E248" s="9" t="s">
        <v>427</v>
      </c>
      <c r="F248" s="9" t="s">
        <v>23</v>
      </c>
      <c r="G248" s="9" t="s">
        <v>107</v>
      </c>
      <c r="H248" s="8" t="s">
        <v>20</v>
      </c>
      <c r="I248" s="10">
        <v>371140</v>
      </c>
      <c r="J248" s="10">
        <v>5457570</v>
      </c>
      <c r="K248" s="11">
        <v>-41.022889999999997</v>
      </c>
      <c r="L248" s="11">
        <v>145.46729999999999</v>
      </c>
      <c r="N248" s="8" t="s">
        <v>37</v>
      </c>
      <c r="O248" s="8">
        <v>1</v>
      </c>
      <c r="P248" s="8">
        <v>1</v>
      </c>
    </row>
    <row r="249" spans="1:16" x14ac:dyDescent="0.15">
      <c r="A249" s="7" t="s">
        <v>428</v>
      </c>
      <c r="B249" s="9" t="str">
        <f>VLOOKUP(D249,[1]TASMaps!$H$4:$K$269,3,FALSE)</f>
        <v>TP08</v>
      </c>
      <c r="C249" s="9" t="str">
        <f>VLOOKUP(D249,[1]TASMaps!$H$4:$K$269,4,FALSE)</f>
        <v>Green Ponds</v>
      </c>
      <c r="D249" s="9">
        <v>5228</v>
      </c>
      <c r="E249" s="9" t="s">
        <v>58</v>
      </c>
      <c r="F249" s="9" t="s">
        <v>30</v>
      </c>
      <c r="G249" s="9" t="s">
        <v>59</v>
      </c>
      <c r="H249" s="8" t="s">
        <v>20</v>
      </c>
      <c r="I249" s="10">
        <v>522670</v>
      </c>
      <c r="J249" s="10">
        <v>5285150</v>
      </c>
      <c r="K249" s="11">
        <v>-42.585729999999998</v>
      </c>
      <c r="L249" s="11">
        <v>147.27628000000001</v>
      </c>
      <c r="N249" s="8" t="s">
        <v>37</v>
      </c>
      <c r="P249" s="8">
        <v>1</v>
      </c>
    </row>
    <row r="250" spans="1:16" x14ac:dyDescent="0.15">
      <c r="A250" s="7" t="s">
        <v>428</v>
      </c>
      <c r="B250" s="9" t="str">
        <f>VLOOKUP(D250,[1]TASMaps!$H$4:$K$269,3,FALSE)</f>
        <v>TR07</v>
      </c>
      <c r="C250" s="9" t="str">
        <f>VLOOKUP(D250,[1]TASMaps!$H$4:$K$269,4,FALSE)</f>
        <v>Hartz</v>
      </c>
      <c r="D250" s="9">
        <v>4621</v>
      </c>
      <c r="E250" s="9" t="s">
        <v>26</v>
      </c>
      <c r="F250" s="9" t="s">
        <v>30</v>
      </c>
      <c r="G250" s="9" t="s">
        <v>27</v>
      </c>
      <c r="H250" s="8" t="s">
        <v>20</v>
      </c>
      <c r="I250" s="10">
        <v>479540</v>
      </c>
      <c r="J250" s="10">
        <v>5215510</v>
      </c>
      <c r="K250" s="11">
        <v>-43.212919999999997</v>
      </c>
      <c r="L250" s="11">
        <v>146.74811</v>
      </c>
      <c r="N250" s="8" t="s">
        <v>37</v>
      </c>
      <c r="P250" s="8">
        <v>1</v>
      </c>
    </row>
    <row r="251" spans="1:16" x14ac:dyDescent="0.15">
      <c r="A251" s="7" t="s">
        <v>429</v>
      </c>
      <c r="B251" s="9" t="str">
        <f>VLOOKUP(D251,[1]TASMaps!$H$4:$K$269,3,FALSE)</f>
        <v>TS06</v>
      </c>
      <c r="C251" s="9" t="str">
        <f>VLOOKUP(D251,[1]TASMaps!$H$4:$K$269,4,FALSE)</f>
        <v>Bathurst</v>
      </c>
      <c r="D251" s="9">
        <v>4420</v>
      </c>
      <c r="E251" s="9" t="s">
        <v>293</v>
      </c>
      <c r="F251" s="9" t="s">
        <v>18</v>
      </c>
      <c r="G251" s="9" t="s">
        <v>27</v>
      </c>
      <c r="H251" s="8" t="s">
        <v>20</v>
      </c>
      <c r="I251" s="10">
        <v>456730</v>
      </c>
      <c r="J251" s="10">
        <v>5209230</v>
      </c>
      <c r="K251" s="11">
        <v>-43.268500000000003</v>
      </c>
      <c r="L251" s="11">
        <v>146.46681000000001</v>
      </c>
      <c r="N251" s="8" t="s">
        <v>37</v>
      </c>
      <c r="P251" s="8">
        <v>1</v>
      </c>
    </row>
    <row r="252" spans="1:16" x14ac:dyDescent="0.15">
      <c r="A252" s="7" t="s">
        <v>430</v>
      </c>
      <c r="B252" s="9" t="str">
        <f>VLOOKUP(D252,[1]TASMaps!$H$4:$K$269,3,FALSE)</f>
        <v>TJ05</v>
      </c>
      <c r="C252" s="9" t="str">
        <f>VLOOKUP(D252,[1]TASMaps!$H$4:$K$269,4,FALSE)</f>
        <v>Emu River</v>
      </c>
      <c r="D252" s="9">
        <v>4044</v>
      </c>
      <c r="E252" s="9" t="s">
        <v>431</v>
      </c>
      <c r="F252" s="9" t="s">
        <v>30</v>
      </c>
      <c r="G252" s="9" t="s">
        <v>113</v>
      </c>
      <c r="H252" s="8" t="s">
        <v>20</v>
      </c>
      <c r="I252" s="10">
        <v>419630</v>
      </c>
      <c r="J252" s="10">
        <v>5442240</v>
      </c>
      <c r="K252" s="11">
        <v>-41.167200000000001</v>
      </c>
      <c r="L252" s="11">
        <v>146.04195000000001</v>
      </c>
      <c r="N252" s="8" t="s">
        <v>37</v>
      </c>
      <c r="O252" s="8">
        <v>1</v>
      </c>
      <c r="P252" s="8">
        <v>1</v>
      </c>
    </row>
    <row r="253" spans="1:16" x14ac:dyDescent="0.15">
      <c r="A253" s="7" t="s">
        <v>432</v>
      </c>
      <c r="B253" s="9" t="str">
        <f>VLOOKUP(D253,[1]TASMaps!$H$4:$K$269,3,FALSE)</f>
        <v>TR06</v>
      </c>
      <c r="C253" s="9" t="str">
        <f>VLOOKUP(D253,[1]TASMaps!$H$4:$K$269,4,FALSE)</f>
        <v>Western Arthur</v>
      </c>
      <c r="D253" s="9">
        <v>4421</v>
      </c>
      <c r="E253" s="9" t="s">
        <v>46</v>
      </c>
      <c r="F253" s="9" t="s">
        <v>30</v>
      </c>
      <c r="G253" s="9" t="s">
        <v>27</v>
      </c>
      <c r="H253" s="8" t="s">
        <v>20</v>
      </c>
      <c r="I253" s="10">
        <v>455710</v>
      </c>
      <c r="J253" s="10">
        <v>5213800</v>
      </c>
      <c r="K253" s="11">
        <v>-43.227290000000004</v>
      </c>
      <c r="L253" s="11">
        <v>146.45461</v>
      </c>
      <c r="N253" s="8" t="s">
        <v>37</v>
      </c>
      <c r="O253" s="8">
        <v>2</v>
      </c>
      <c r="P253" s="8">
        <v>2</v>
      </c>
    </row>
    <row r="254" spans="1:16" x14ac:dyDescent="0.15">
      <c r="A254" s="7" t="s">
        <v>433</v>
      </c>
      <c r="B254" s="9" t="str">
        <f>VLOOKUP(D254,[1]TASMaps!$H$4:$K$269,3,FALSE)</f>
        <v>TP06</v>
      </c>
      <c r="C254" s="9" t="str">
        <f>VLOOKUP(D254,[1]TASMaps!$H$4:$K$269,4,FALSE)</f>
        <v>Denison Range</v>
      </c>
      <c r="D254" s="9">
        <v>4229</v>
      </c>
      <c r="E254" s="9" t="s">
        <v>128</v>
      </c>
      <c r="F254" s="9" t="s">
        <v>23</v>
      </c>
      <c r="G254" s="9" t="s">
        <v>24</v>
      </c>
      <c r="H254" s="8" t="s">
        <v>20</v>
      </c>
      <c r="I254" s="10">
        <v>421740</v>
      </c>
      <c r="J254" s="10">
        <v>5298430</v>
      </c>
      <c r="K254" s="11">
        <v>-42.462519999999998</v>
      </c>
      <c r="L254" s="11">
        <v>146.04811000000001</v>
      </c>
      <c r="N254" s="8">
        <v>8</v>
      </c>
      <c r="O254" s="8">
        <v>8</v>
      </c>
      <c r="P254" s="8">
        <v>9</v>
      </c>
    </row>
    <row r="255" spans="1:16" x14ac:dyDescent="0.15">
      <c r="A255" s="7" t="s">
        <v>434</v>
      </c>
      <c r="B255" s="9" t="str">
        <f>VLOOKUP(D255,[1]TASMaps!$H$4:$K$269,3,FALSE)</f>
        <v>TM07</v>
      </c>
      <c r="C255" s="9" t="str">
        <f>VLOOKUP(D255,[1]TASMaps!$H$4:$K$269,4,FALSE)</f>
        <v>Penstock</v>
      </c>
      <c r="D255" s="9">
        <v>4833</v>
      </c>
      <c r="E255" s="9" t="s">
        <v>103</v>
      </c>
      <c r="F255" s="9" t="s">
        <v>104</v>
      </c>
      <c r="G255" s="9" t="s">
        <v>36</v>
      </c>
      <c r="H255" s="8" t="s">
        <v>20</v>
      </c>
      <c r="I255" s="10">
        <v>481170</v>
      </c>
      <c r="J255" s="10">
        <v>5337790</v>
      </c>
      <c r="K255" s="11">
        <v>-42.111759999999997</v>
      </c>
      <c r="L255" s="11">
        <v>146.77223000000001</v>
      </c>
      <c r="N255" s="8" t="s">
        <v>37</v>
      </c>
      <c r="P255" s="8">
        <v>1</v>
      </c>
    </row>
    <row r="256" spans="1:16" x14ac:dyDescent="0.15">
      <c r="A256" s="9" t="s">
        <v>435</v>
      </c>
      <c r="B256" s="9" t="str">
        <f>VLOOKUP(D256,[1]TASMaps!$H$4:$K$269,3,FALSE)</f>
        <v>TH05</v>
      </c>
      <c r="C256" s="9" t="str">
        <f>VLOOKUP(D256,[1]TASMaps!$H$4:$K$269,4,FALSE)</f>
        <v>Table Cape</v>
      </c>
      <c r="D256" s="9">
        <v>3645</v>
      </c>
      <c r="E256" s="9" t="s">
        <v>427</v>
      </c>
      <c r="F256" s="9" t="s">
        <v>30</v>
      </c>
      <c r="G256" s="9" t="s">
        <v>107</v>
      </c>
      <c r="H256" s="8" t="s">
        <v>20</v>
      </c>
      <c r="I256" s="10">
        <v>368770</v>
      </c>
      <c r="J256" s="10">
        <v>5454510</v>
      </c>
      <c r="K256" s="11">
        <v>-41.050069999999998</v>
      </c>
      <c r="L256" s="11">
        <v>145.43847</v>
      </c>
      <c r="N256" s="8" t="s">
        <v>37</v>
      </c>
      <c r="P256" s="8">
        <v>1</v>
      </c>
    </row>
    <row r="257" spans="1:16" x14ac:dyDescent="0.15">
      <c r="A257" s="7" t="s">
        <v>436</v>
      </c>
      <c r="B257" s="9" t="str">
        <f>VLOOKUP(D257,[1]TASMaps!$H$4:$K$269,3,FALSE)</f>
        <v>TJ08</v>
      </c>
      <c r="C257" s="9" t="str">
        <f>VLOOKUP(D257,[1]TASMaps!$H$4:$K$269,4,FALSE)</f>
        <v>Sideling</v>
      </c>
      <c r="D257" s="9">
        <v>5043</v>
      </c>
      <c r="E257" s="9" t="s">
        <v>437</v>
      </c>
      <c r="F257" s="9" t="s">
        <v>30</v>
      </c>
      <c r="G257" s="9" t="s">
        <v>438</v>
      </c>
      <c r="H257" s="8" t="s">
        <v>20</v>
      </c>
      <c r="I257" s="10">
        <v>502720</v>
      </c>
      <c r="J257" s="10">
        <v>5434470</v>
      </c>
      <c r="K257" s="11">
        <v>-41.241169999999997</v>
      </c>
      <c r="L257" s="11">
        <v>147.03245999999999</v>
      </c>
      <c r="N257" s="8" t="s">
        <v>37</v>
      </c>
      <c r="P257" s="8">
        <v>1</v>
      </c>
    </row>
    <row r="258" spans="1:16" x14ac:dyDescent="0.15">
      <c r="A258" s="7" t="s">
        <v>436</v>
      </c>
      <c r="B258" s="9" t="str">
        <f>VLOOKUP(D258,[1]TASMaps!$H$4:$K$269,3,FALSE)</f>
        <v>TQ08</v>
      </c>
      <c r="C258" s="9" t="str">
        <f>VLOOKUP(D258,[1]TASMaps!$H$4:$K$269,4,FALSE)</f>
        <v>Wellington</v>
      </c>
      <c r="D258" s="9">
        <v>5226</v>
      </c>
      <c r="E258" s="9" t="s">
        <v>439</v>
      </c>
      <c r="F258" s="9" t="s">
        <v>30</v>
      </c>
      <c r="G258" s="9" t="s">
        <v>385</v>
      </c>
      <c r="H258" s="8" t="s">
        <v>20</v>
      </c>
      <c r="I258" s="10">
        <v>525130</v>
      </c>
      <c r="J258" s="10">
        <v>5261560</v>
      </c>
      <c r="K258" s="11">
        <v>-42.798099999999998</v>
      </c>
      <c r="L258" s="11">
        <v>147.30731</v>
      </c>
      <c r="N258" s="8" t="s">
        <v>37</v>
      </c>
      <c r="P258" s="8">
        <v>1</v>
      </c>
    </row>
    <row r="259" spans="1:16" x14ac:dyDescent="0.15">
      <c r="A259" s="7" t="s">
        <v>440</v>
      </c>
      <c r="B259" s="9" t="str">
        <f>VLOOKUP(D259,[1]TASMaps!$H$4:$K$269,3,FALSE)</f>
        <v>TP05</v>
      </c>
      <c r="C259" s="9" t="str">
        <f>VLOOKUP(D259,[1]TASMaps!$H$4:$K$269,4,FALSE)</f>
        <v>Princess Range</v>
      </c>
      <c r="D259" s="9">
        <v>3828</v>
      </c>
      <c r="E259" s="9" t="s">
        <v>441</v>
      </c>
      <c r="F259" s="9" t="s">
        <v>30</v>
      </c>
      <c r="G259" s="9" t="s">
        <v>24</v>
      </c>
      <c r="H259" s="8" t="s">
        <v>20</v>
      </c>
      <c r="I259" s="10">
        <v>385270</v>
      </c>
      <c r="J259" s="10">
        <v>5286870</v>
      </c>
      <c r="K259" s="11">
        <v>-42.562049999999999</v>
      </c>
      <c r="L259" s="11">
        <v>145.60230999999999</v>
      </c>
      <c r="N259" s="8" t="s">
        <v>37</v>
      </c>
      <c r="O259" s="8">
        <v>1</v>
      </c>
      <c r="P259" s="8">
        <v>1</v>
      </c>
    </row>
    <row r="260" spans="1:16" x14ac:dyDescent="0.15">
      <c r="A260" s="7" t="s">
        <v>442</v>
      </c>
      <c r="B260" s="9" t="str">
        <f>VLOOKUP(D260,[1]TASMaps!$H$4:$K$269,3,FALSE)</f>
        <v>TP08</v>
      </c>
      <c r="C260" s="9" t="str">
        <f>VLOOKUP(D260,[1]TASMaps!$H$4:$K$269,4,FALSE)</f>
        <v>Green Ponds</v>
      </c>
      <c r="D260" s="9">
        <v>5228</v>
      </c>
      <c r="E260" s="9" t="s">
        <v>58</v>
      </c>
      <c r="F260" s="9" t="s">
        <v>30</v>
      </c>
      <c r="G260" s="9" t="s">
        <v>59</v>
      </c>
      <c r="H260" s="8" t="s">
        <v>20</v>
      </c>
      <c r="I260" s="10">
        <v>526490</v>
      </c>
      <c r="J260" s="10">
        <v>5280490</v>
      </c>
      <c r="K260" s="11">
        <v>-42.627580000000002</v>
      </c>
      <c r="L260" s="11">
        <v>147.32304999999999</v>
      </c>
      <c r="N260" s="8" t="s">
        <v>37</v>
      </c>
      <c r="P260" s="8">
        <v>1</v>
      </c>
    </row>
    <row r="261" spans="1:16" x14ac:dyDescent="0.15">
      <c r="A261" s="9" t="s">
        <v>442</v>
      </c>
      <c r="B261" s="9" t="str">
        <f>VLOOKUP(D261,[1]TASMaps!$H$4:$K$269,3,FALSE)</f>
        <v>TJ08</v>
      </c>
      <c r="C261" s="9" t="str">
        <f>VLOOKUP(D261,[1]TASMaps!$H$4:$K$269,4,FALSE)</f>
        <v>Sideling</v>
      </c>
      <c r="D261" s="9">
        <v>5043</v>
      </c>
      <c r="E261" s="9" t="s">
        <v>437</v>
      </c>
      <c r="F261" s="9" t="s">
        <v>30</v>
      </c>
      <c r="G261" s="9" t="s">
        <v>87</v>
      </c>
      <c r="H261" s="8" t="s">
        <v>20</v>
      </c>
      <c r="I261" s="10">
        <v>508570</v>
      </c>
      <c r="J261" s="10">
        <v>5434210</v>
      </c>
      <c r="K261" s="11">
        <v>-41.243470000000002</v>
      </c>
      <c r="L261" s="11">
        <v>147.10228000000001</v>
      </c>
      <c r="N261" s="8" t="s">
        <v>37</v>
      </c>
      <c r="P261" s="8">
        <v>1</v>
      </c>
    </row>
    <row r="262" spans="1:16" x14ac:dyDescent="0.15">
      <c r="A262" s="7" t="s">
        <v>443</v>
      </c>
      <c r="B262" s="9" t="str">
        <f>VLOOKUP(D262,[1]TASMaps!$H$4:$K$269,3,FALSE)</f>
        <v>TJ10</v>
      </c>
      <c r="C262" s="9" t="str">
        <f>VLOOKUP(D262,[1]TASMaps!$H$4:$K$269,4,FALSE)</f>
        <v>Bay of Fires</v>
      </c>
      <c r="D262" s="9">
        <v>6043</v>
      </c>
      <c r="E262" s="9" t="s">
        <v>444</v>
      </c>
      <c r="F262" s="9" t="s">
        <v>23</v>
      </c>
      <c r="G262" s="9" t="s">
        <v>44</v>
      </c>
      <c r="H262" s="8" t="s">
        <v>20</v>
      </c>
      <c r="I262" s="10">
        <v>601100</v>
      </c>
      <c r="J262" s="10">
        <v>5438550</v>
      </c>
      <c r="K262" s="11">
        <v>-41.19811</v>
      </c>
      <c r="L262" s="11">
        <v>148.20572000000001</v>
      </c>
      <c r="N262" s="8" t="s">
        <v>37</v>
      </c>
      <c r="P262" s="8">
        <v>1</v>
      </c>
    </row>
    <row r="263" spans="1:16" x14ac:dyDescent="0.15">
      <c r="A263" s="14" t="s">
        <v>445</v>
      </c>
      <c r="B263" s="9" t="str">
        <f>VLOOKUP(D263,[1]TASMaps!$H$4:$K$269,3,FALSE)</f>
        <v>TP07</v>
      </c>
      <c r="C263" s="9" t="str">
        <f>VLOOKUP(D263,[1]TASMaps!$H$4:$K$269,4,FALSE)</f>
        <v>Meadowbank</v>
      </c>
      <c r="D263" s="9">
        <v>4628</v>
      </c>
      <c r="E263" s="9" t="s">
        <v>240</v>
      </c>
      <c r="F263" s="9" t="s">
        <v>18</v>
      </c>
      <c r="G263" s="9" t="s">
        <v>36</v>
      </c>
      <c r="H263" s="8" t="s">
        <v>20</v>
      </c>
      <c r="I263" s="10">
        <v>467180</v>
      </c>
      <c r="J263" s="10">
        <v>5281820</v>
      </c>
      <c r="K263" s="11">
        <v>-42.615360000000003</v>
      </c>
      <c r="L263" s="11">
        <v>146.59983</v>
      </c>
      <c r="N263" s="8" t="s">
        <v>37</v>
      </c>
      <c r="P263" s="8">
        <v>2</v>
      </c>
    </row>
    <row r="264" spans="1:16" x14ac:dyDescent="0.15">
      <c r="A264" s="7" t="s">
        <v>446</v>
      </c>
      <c r="B264" s="9" t="str">
        <f>VLOOKUP(D264,[1]TASMaps!$H$4:$K$269,3,FALSE)</f>
        <v>TK09</v>
      </c>
      <c r="C264" s="9" t="str">
        <f>VLOOKUP(D264,[1]TASMaps!$H$4:$K$269,4,FALSE)</f>
        <v>Ben Lomond</v>
      </c>
      <c r="D264" s="9">
        <v>5439</v>
      </c>
      <c r="E264" s="9" t="s">
        <v>95</v>
      </c>
      <c r="F264" s="9" t="s">
        <v>30</v>
      </c>
      <c r="G264" s="9" t="s">
        <v>78</v>
      </c>
      <c r="H264" s="8" t="s">
        <v>20</v>
      </c>
      <c r="I264" s="10">
        <v>551760</v>
      </c>
      <c r="J264" s="10">
        <v>5393550</v>
      </c>
      <c r="K264" s="11">
        <v>-41.608080000000001</v>
      </c>
      <c r="L264" s="11">
        <v>147.62119000000001</v>
      </c>
      <c r="N264" s="8" t="s">
        <v>37</v>
      </c>
      <c r="P264" s="8">
        <v>1</v>
      </c>
    </row>
    <row r="265" spans="1:16" x14ac:dyDescent="0.15">
      <c r="A265" s="7" t="s">
        <v>447</v>
      </c>
      <c r="B265" s="9" t="str">
        <f>VLOOKUP(D265,[1]TASMaps!$H$4:$K$269,3,FALSE)</f>
        <v>TP06</v>
      </c>
      <c r="C265" s="9" t="str">
        <f>VLOOKUP(D265,[1]TASMaps!$H$4:$K$269,4,FALSE)</f>
        <v>Denison Range</v>
      </c>
      <c r="D265" s="9">
        <v>4427</v>
      </c>
      <c r="E265" s="9" t="s">
        <v>327</v>
      </c>
      <c r="F265" s="9" t="s">
        <v>18</v>
      </c>
      <c r="G265" s="9" t="s">
        <v>19</v>
      </c>
      <c r="H265" s="8" t="s">
        <v>20</v>
      </c>
      <c r="I265" s="10">
        <v>445240</v>
      </c>
      <c r="J265" s="10">
        <v>5278630</v>
      </c>
      <c r="K265" s="11">
        <v>-42.64284</v>
      </c>
      <c r="L265" s="11">
        <v>146.33202</v>
      </c>
      <c r="N265" s="8" t="s">
        <v>37</v>
      </c>
      <c r="P265" s="8">
        <v>1</v>
      </c>
    </row>
    <row r="266" spans="1:16" x14ac:dyDescent="0.15">
      <c r="A266" s="7" t="s">
        <v>447</v>
      </c>
      <c r="B266" s="9" t="str">
        <f>VLOOKUP(D266,[1]TASMaps!$H$4:$K$269,3,FALSE)</f>
        <v>TL06</v>
      </c>
      <c r="C266" s="9" t="str">
        <f>VLOOKUP(D266,[1]TASMaps!$H$4:$K$269,4,FALSE)</f>
        <v>Jerusalem</v>
      </c>
      <c r="D266" s="9">
        <v>4437</v>
      </c>
      <c r="E266" s="9" t="s">
        <v>448</v>
      </c>
      <c r="F266" s="9" t="s">
        <v>18</v>
      </c>
      <c r="G266" s="9" t="s">
        <v>36</v>
      </c>
      <c r="H266" s="8" t="s">
        <v>20</v>
      </c>
      <c r="I266" s="10">
        <v>457840</v>
      </c>
      <c r="J266" s="10">
        <v>5375900</v>
      </c>
      <c r="K266" s="11">
        <v>-41.767620000000001</v>
      </c>
      <c r="L266" s="11">
        <v>146.49277000000001</v>
      </c>
      <c r="N266" s="8" t="s">
        <v>37</v>
      </c>
      <c r="P266" s="8">
        <v>1</v>
      </c>
    </row>
    <row r="267" spans="1:16" x14ac:dyDescent="0.15">
      <c r="A267" s="7" t="s">
        <v>447</v>
      </c>
      <c r="B267" s="9" t="str">
        <f>VLOOKUP(D267,[1]TASMaps!$H$4:$K$269,3,FALSE)</f>
        <v>TM05</v>
      </c>
      <c r="C267" s="9" t="str">
        <f>VLOOKUP(D267,[1]TASMaps!$H$4:$K$269,4,FALSE)</f>
        <v>Eldon</v>
      </c>
      <c r="D267" s="9">
        <v>4035</v>
      </c>
      <c r="E267" s="9" t="s">
        <v>291</v>
      </c>
      <c r="F267" s="9" t="s">
        <v>227</v>
      </c>
      <c r="G267" s="9" t="s">
        <v>24</v>
      </c>
      <c r="H267" s="8" t="s">
        <v>20</v>
      </c>
      <c r="I267" s="10">
        <v>403420</v>
      </c>
      <c r="J267" s="10">
        <v>5356950</v>
      </c>
      <c r="K267" s="11">
        <v>-41.933509999999998</v>
      </c>
      <c r="L267" s="11">
        <v>145.83503999999999</v>
      </c>
      <c r="M267" s="8" t="s">
        <v>21</v>
      </c>
      <c r="N267" s="8" t="s">
        <v>37</v>
      </c>
      <c r="O267" s="8">
        <v>2</v>
      </c>
      <c r="P267" s="8">
        <v>3</v>
      </c>
    </row>
    <row r="268" spans="1:16" x14ac:dyDescent="0.15">
      <c r="A268" s="7" t="s">
        <v>449</v>
      </c>
      <c r="B268" s="9" t="str">
        <f>VLOOKUP(D268,[1]TASMaps!$H$4:$K$269,3,FALSE)</f>
        <v>TN06</v>
      </c>
      <c r="C268" s="9" t="str">
        <f>VLOOKUP(D268,[1]TASMaps!$H$4:$K$269,4,FALSE)</f>
        <v>King William</v>
      </c>
      <c r="D268" s="9">
        <v>4232</v>
      </c>
      <c r="E268" s="9" t="s">
        <v>80</v>
      </c>
      <c r="F268" s="9" t="s">
        <v>30</v>
      </c>
      <c r="G268" s="9" t="s">
        <v>36</v>
      </c>
      <c r="H268" s="8" t="s">
        <v>20</v>
      </c>
      <c r="I268" s="10">
        <v>428000</v>
      </c>
      <c r="J268" s="10">
        <v>5320960</v>
      </c>
      <c r="K268" s="11">
        <v>-42.260240000000003</v>
      </c>
      <c r="L268" s="11">
        <v>146.12706</v>
      </c>
      <c r="N268" s="8" t="s">
        <v>37</v>
      </c>
      <c r="P268" s="8">
        <v>1</v>
      </c>
    </row>
    <row r="269" spans="1:16" x14ac:dyDescent="0.15">
      <c r="A269" s="7" t="s">
        <v>450</v>
      </c>
      <c r="B269" s="9" t="str">
        <f>VLOOKUP(D269,[1]TASMaps!$H$4:$K$269,3,FALSE)</f>
        <v>TK03</v>
      </c>
      <c r="C269" s="9" t="str">
        <f>VLOOKUP(D269,[1]TASMaps!$H$4:$K$269,4,FALSE)</f>
        <v>Norfolk Range</v>
      </c>
      <c r="D269" s="9">
        <v>3239</v>
      </c>
      <c r="E269" s="9" t="s">
        <v>451</v>
      </c>
      <c r="F269" s="9" t="s">
        <v>30</v>
      </c>
      <c r="G269" s="9" t="s">
        <v>107</v>
      </c>
      <c r="H269" s="8" t="s">
        <v>20</v>
      </c>
      <c r="I269" s="10">
        <v>338840</v>
      </c>
      <c r="J269" s="10">
        <v>5391760</v>
      </c>
      <c r="K269" s="11">
        <v>-41.6096</v>
      </c>
      <c r="L269" s="11">
        <v>145.06585999999999</v>
      </c>
      <c r="N269" s="8" t="s">
        <v>37</v>
      </c>
      <c r="P269" s="8">
        <v>1</v>
      </c>
    </row>
    <row r="270" spans="1:16" x14ac:dyDescent="0.15">
      <c r="A270" s="7" t="s">
        <v>452</v>
      </c>
      <c r="B270" s="9" t="str">
        <f>VLOOKUP(D270,[1]TASMaps!$H$4:$K$269,3,FALSE)</f>
        <v>TR06</v>
      </c>
      <c r="C270" s="9" t="str">
        <f>VLOOKUP(D270,[1]TASMaps!$H$4:$K$269,4,FALSE)</f>
        <v>Western Arthur</v>
      </c>
      <c r="D270" s="9">
        <v>4422</v>
      </c>
      <c r="E270" s="9" t="s">
        <v>139</v>
      </c>
      <c r="F270" s="9" t="s">
        <v>23</v>
      </c>
      <c r="G270" s="9" t="s">
        <v>27</v>
      </c>
      <c r="H270" s="8" t="s">
        <v>20</v>
      </c>
      <c r="I270" s="10">
        <v>443000</v>
      </c>
      <c r="J270" s="10">
        <v>5221850</v>
      </c>
      <c r="K270" s="11">
        <v>-43.153950000000002</v>
      </c>
      <c r="L270" s="11">
        <v>146.29893000000001</v>
      </c>
      <c r="N270" s="8" t="s">
        <v>37</v>
      </c>
      <c r="O270" s="8">
        <v>3</v>
      </c>
      <c r="P270" s="8">
        <v>3</v>
      </c>
    </row>
    <row r="271" spans="1:16" x14ac:dyDescent="0.15">
      <c r="A271" s="7" t="s">
        <v>453</v>
      </c>
      <c r="B271" s="9" t="str">
        <f>VLOOKUP(D271,[1]TASMaps!$H$4:$K$269,3,FALSE)</f>
        <v>TL06</v>
      </c>
      <c r="C271" s="9" t="str">
        <f>VLOOKUP(D271,[1]TASMaps!$H$4:$K$269,4,FALSE)</f>
        <v>Jerusalem</v>
      </c>
      <c r="D271" s="9">
        <v>4236</v>
      </c>
      <c r="E271" s="9" t="s">
        <v>177</v>
      </c>
      <c r="F271" s="9" t="s">
        <v>30</v>
      </c>
      <c r="G271" s="9" t="s">
        <v>33</v>
      </c>
      <c r="H271" s="8" t="s">
        <v>20</v>
      </c>
      <c r="I271" s="10">
        <v>420950</v>
      </c>
      <c r="J271" s="10">
        <v>5364620</v>
      </c>
      <c r="K271" s="11">
        <v>-41.866390000000003</v>
      </c>
      <c r="L271" s="11">
        <v>146.04749000000001</v>
      </c>
      <c r="N271" s="8" t="s">
        <v>37</v>
      </c>
      <c r="P271" s="8">
        <v>1</v>
      </c>
    </row>
    <row r="272" spans="1:16" x14ac:dyDescent="0.15">
      <c r="A272" s="7" t="s">
        <v>454</v>
      </c>
      <c r="B272" s="9" t="str">
        <f>VLOOKUP(D272,[1]TASMaps!$H$4:$K$269,3,FALSE)</f>
        <v>TF10</v>
      </c>
      <c r="C272" s="9" t="str">
        <f>VLOOKUP(D272,[1]TASMaps!$H$4:$K$269,4,FALSE)</f>
        <v>Armstrong</v>
      </c>
      <c r="D272" s="9">
        <v>5852</v>
      </c>
      <c r="E272" s="9" t="s">
        <v>455</v>
      </c>
      <c r="F272" s="9" t="s">
        <v>23</v>
      </c>
      <c r="G272" s="9" t="s">
        <v>151</v>
      </c>
      <c r="H272" s="8" t="s">
        <v>20</v>
      </c>
      <c r="I272" s="10">
        <v>596990</v>
      </c>
      <c r="J272" s="10">
        <v>5528640</v>
      </c>
      <c r="K272" s="11">
        <v>-40.387189999999997</v>
      </c>
      <c r="L272" s="11">
        <v>148.14272</v>
      </c>
      <c r="N272" s="8" t="s">
        <v>37</v>
      </c>
      <c r="P272" s="8">
        <v>1</v>
      </c>
    </row>
    <row r="273" spans="1:16" x14ac:dyDescent="0.15">
      <c r="A273" s="7" t="s">
        <v>454</v>
      </c>
      <c r="B273" s="9" t="str">
        <f>VLOOKUP(D273,[1]TASMaps!$H$4:$K$269,3,FALSE)</f>
        <v>TQ05</v>
      </c>
      <c r="C273" s="9" t="str">
        <f>VLOOKUP(D273,[1]TASMaps!$H$4:$K$269,4,FALSE)</f>
        <v>Dohertys</v>
      </c>
      <c r="D273" s="9">
        <v>4024</v>
      </c>
      <c r="E273" s="9" t="s">
        <v>364</v>
      </c>
      <c r="F273" s="9" t="s">
        <v>23</v>
      </c>
      <c r="G273" s="9" t="s">
        <v>19</v>
      </c>
      <c r="H273" s="8" t="s">
        <v>20</v>
      </c>
      <c r="I273" s="10">
        <v>419730</v>
      </c>
      <c r="J273" s="10">
        <v>5246800</v>
      </c>
      <c r="K273" s="11">
        <v>-42.927199999999999</v>
      </c>
      <c r="L273" s="11">
        <v>146.01635999999999</v>
      </c>
      <c r="N273" s="8" t="s">
        <v>37</v>
      </c>
      <c r="O273" s="8">
        <v>3</v>
      </c>
      <c r="P273" s="8">
        <v>4</v>
      </c>
    </row>
    <row r="274" spans="1:16" x14ac:dyDescent="0.15">
      <c r="A274" s="9" t="s">
        <v>456</v>
      </c>
      <c r="B274" s="9" t="str">
        <f>VLOOKUP(D274,[1]TASMaps!$H$4:$K$269,3,FALSE)</f>
        <v>TP09</v>
      </c>
      <c r="C274" s="9" t="str">
        <f>VLOOKUP(D274,[1]TASMaps!$H$4:$K$269,4,FALSE)</f>
        <v>Prosser</v>
      </c>
      <c r="D274" s="9">
        <v>5429</v>
      </c>
      <c r="E274" s="9" t="s">
        <v>457</v>
      </c>
      <c r="F274" s="9" t="s">
        <v>30</v>
      </c>
      <c r="G274" s="9" t="s">
        <v>62</v>
      </c>
      <c r="H274" s="8" t="s">
        <v>20</v>
      </c>
      <c r="I274" s="10">
        <v>559040</v>
      </c>
      <c r="J274" s="10">
        <v>5294450</v>
      </c>
      <c r="K274" s="11">
        <v>-42.500059999999998</v>
      </c>
      <c r="L274" s="11">
        <v>147.71853999999999</v>
      </c>
      <c r="N274" s="8" t="s">
        <v>37</v>
      </c>
      <c r="P274" s="8">
        <v>1</v>
      </c>
    </row>
    <row r="275" spans="1:16" x14ac:dyDescent="0.15">
      <c r="A275" s="7" t="s">
        <v>458</v>
      </c>
      <c r="B275" s="9" t="str">
        <f>VLOOKUP(D275,[1]TASMaps!$H$4:$K$269,3,FALSE)</f>
        <v>TM10</v>
      </c>
      <c r="C275" s="9" t="str">
        <f>VLOOKUP(D275,[1]TASMaps!$H$4:$K$269,4,FALSE)</f>
        <v>Moulting Lagoon</v>
      </c>
      <c r="D275" s="9">
        <v>6033</v>
      </c>
      <c r="E275" s="9" t="s">
        <v>61</v>
      </c>
      <c r="F275" s="9" t="s">
        <v>30</v>
      </c>
      <c r="G275" s="9" t="s">
        <v>62</v>
      </c>
      <c r="H275" s="8" t="s">
        <v>20</v>
      </c>
      <c r="I275" s="10">
        <v>608070</v>
      </c>
      <c r="J275" s="10">
        <v>5332570</v>
      </c>
      <c r="K275" s="11">
        <v>-42.151539999999997</v>
      </c>
      <c r="L275" s="11">
        <v>148.30801</v>
      </c>
      <c r="N275" s="8" t="s">
        <v>37</v>
      </c>
      <c r="O275" s="8">
        <v>1</v>
      </c>
      <c r="P275" s="8">
        <v>1</v>
      </c>
    </row>
    <row r="276" spans="1:16" x14ac:dyDescent="0.15">
      <c r="A276" s="7" t="s">
        <v>459</v>
      </c>
      <c r="B276" s="9" t="str">
        <f>VLOOKUP(D276,[1]TASMaps!$H$4:$K$269,3,FALSE)</f>
        <v>TP08</v>
      </c>
      <c r="C276" s="9" t="str">
        <f>VLOOKUP(D276,[1]TASMaps!$H$4:$K$269,4,FALSE)</f>
        <v>Green Ponds</v>
      </c>
      <c r="D276" s="9">
        <v>5027</v>
      </c>
      <c r="E276" s="9" t="s">
        <v>460</v>
      </c>
      <c r="F276" s="9" t="s">
        <v>30</v>
      </c>
      <c r="G276" s="9" t="s">
        <v>59</v>
      </c>
      <c r="H276" s="8" t="s">
        <v>20</v>
      </c>
      <c r="I276" s="10">
        <v>509555</v>
      </c>
      <c r="J276" s="10">
        <v>5271075</v>
      </c>
      <c r="K276" s="11">
        <v>-42.712760000000003</v>
      </c>
      <c r="L276" s="11">
        <v>147.11669000000001</v>
      </c>
      <c r="N276" s="8" t="s">
        <v>37</v>
      </c>
      <c r="O276" s="8">
        <v>1</v>
      </c>
      <c r="P276" s="8">
        <v>1</v>
      </c>
    </row>
    <row r="277" spans="1:16" x14ac:dyDescent="0.15">
      <c r="A277" s="7" t="s">
        <v>461</v>
      </c>
      <c r="B277" s="9" t="str">
        <f>VLOOKUP(D277,[1]TASMaps!$H$4:$K$269,3,FALSE)</f>
        <v>TQ06</v>
      </c>
      <c r="C277" s="9" t="str">
        <f>VLOOKUP(D277,[1]TASMaps!$H$4:$K$269,4,FALSE)</f>
        <v>Lake Pedder</v>
      </c>
      <c r="D277" s="9">
        <v>4424</v>
      </c>
      <c r="E277" s="9" t="s">
        <v>69</v>
      </c>
      <c r="F277" s="9" t="s">
        <v>30</v>
      </c>
      <c r="G277" s="9" t="s">
        <v>19</v>
      </c>
      <c r="H277" s="8" t="s">
        <v>20</v>
      </c>
      <c r="I277" s="10">
        <v>448920</v>
      </c>
      <c r="J277" s="10">
        <v>5245780</v>
      </c>
      <c r="K277" s="11">
        <v>-42.938899999999997</v>
      </c>
      <c r="L277" s="11">
        <v>146.37394</v>
      </c>
      <c r="N277" s="8" t="s">
        <v>37</v>
      </c>
      <c r="O277" s="8">
        <v>1</v>
      </c>
      <c r="P277" s="8">
        <v>1</v>
      </c>
    </row>
    <row r="278" spans="1:16" x14ac:dyDescent="0.15">
      <c r="A278" s="7" t="s">
        <v>462</v>
      </c>
      <c r="B278" s="9" t="str">
        <f>VLOOKUP(D278,[1]TASMaps!$H$4:$K$269,3,FALSE)</f>
        <v>TL07</v>
      </c>
      <c r="C278" s="9" t="str">
        <f>VLOOKUP(D278,[1]TASMaps!$H$4:$K$269,4,FALSE)</f>
        <v>Breton</v>
      </c>
      <c r="D278" s="9">
        <v>4838</v>
      </c>
      <c r="E278" s="9" t="s">
        <v>333</v>
      </c>
      <c r="F278" s="9" t="s">
        <v>30</v>
      </c>
      <c r="G278" s="9" t="s">
        <v>36</v>
      </c>
      <c r="H278" s="8" t="s">
        <v>20</v>
      </c>
      <c r="I278" s="10">
        <v>483865</v>
      </c>
      <c r="J278" s="10">
        <v>5381940</v>
      </c>
      <c r="K278" s="11">
        <v>-41.714170000000003</v>
      </c>
      <c r="L278" s="11">
        <v>146.80604</v>
      </c>
      <c r="M278" s="8" t="s">
        <v>21</v>
      </c>
      <c r="N278" s="8" t="s">
        <v>37</v>
      </c>
      <c r="O278" s="8">
        <v>1</v>
      </c>
      <c r="P278" s="8">
        <v>2</v>
      </c>
    </row>
    <row r="279" spans="1:16" x14ac:dyDescent="0.15">
      <c r="A279" s="7" t="s">
        <v>463</v>
      </c>
      <c r="B279" s="9" t="str">
        <f>VLOOKUP(D279,[1]TASMaps!$H$4:$K$269,3,FALSE)</f>
        <v>TM06</v>
      </c>
      <c r="C279" s="9" t="str">
        <f>VLOOKUP(D279,[1]TASMaps!$H$4:$K$269,4,FALSE)</f>
        <v>St Clair</v>
      </c>
      <c r="D279" s="9">
        <v>4235</v>
      </c>
      <c r="E279" s="9" t="s">
        <v>32</v>
      </c>
      <c r="F279" s="9" t="s">
        <v>104</v>
      </c>
      <c r="G279" s="9" t="s">
        <v>36</v>
      </c>
      <c r="H279" s="8" t="s">
        <v>20</v>
      </c>
      <c r="I279" s="10">
        <v>421285</v>
      </c>
      <c r="J279" s="10">
        <v>5358740</v>
      </c>
      <c r="K279" s="11">
        <v>-41.919370000000001</v>
      </c>
      <c r="L279" s="11">
        <v>146.05073999999999</v>
      </c>
      <c r="M279" s="8" t="s">
        <v>21</v>
      </c>
      <c r="N279" s="8" t="s">
        <v>37</v>
      </c>
      <c r="O279" s="8">
        <v>1</v>
      </c>
      <c r="P279" s="8">
        <v>3</v>
      </c>
    </row>
    <row r="280" spans="1:16" x14ac:dyDescent="0.15">
      <c r="A280" s="7" t="s">
        <v>464</v>
      </c>
      <c r="B280" s="9" t="str">
        <f>VLOOKUP(D280,[1]TASMaps!$H$4:$K$269,3,FALSE)</f>
        <v>TJ05</v>
      </c>
      <c r="C280" s="9" t="str">
        <f>VLOOKUP(D280,[1]TASMaps!$H$4:$K$269,4,FALSE)</f>
        <v>Emu River</v>
      </c>
      <c r="D280" s="9">
        <v>4043</v>
      </c>
      <c r="E280" s="9" t="s">
        <v>465</v>
      </c>
      <c r="F280" s="9" t="s">
        <v>30</v>
      </c>
      <c r="G280" s="9" t="s">
        <v>113</v>
      </c>
      <c r="H280" s="8" t="s">
        <v>20</v>
      </c>
      <c r="I280" s="10">
        <v>419140</v>
      </c>
      <c r="J280" s="10">
        <v>5439200</v>
      </c>
      <c r="K280" s="11">
        <v>-41.19453</v>
      </c>
      <c r="L280" s="11">
        <v>146.03570999999999</v>
      </c>
      <c r="N280" s="8" t="s">
        <v>37</v>
      </c>
      <c r="O280" s="8">
        <v>1</v>
      </c>
      <c r="P280" s="8">
        <v>1</v>
      </c>
    </row>
    <row r="281" spans="1:16" x14ac:dyDescent="0.15">
      <c r="A281" s="7" t="s">
        <v>466</v>
      </c>
      <c r="B281" s="9" t="str">
        <f>VLOOKUP(D281,[1]TASMaps!$H$4:$K$269,3,FALSE)</f>
        <v>TL04</v>
      </c>
      <c r="C281" s="9" t="str">
        <f>VLOOKUP(D281,[1]TASMaps!$H$4:$K$269,4,FALSE)</f>
        <v>Lake Pieman</v>
      </c>
      <c r="D281" s="9">
        <v>3636</v>
      </c>
      <c r="E281" s="9" t="s">
        <v>467</v>
      </c>
      <c r="F281" s="9" t="s">
        <v>30</v>
      </c>
      <c r="G281" s="9" t="s">
        <v>24</v>
      </c>
      <c r="H281" s="8" t="s">
        <v>20</v>
      </c>
      <c r="I281" s="10">
        <v>373370</v>
      </c>
      <c r="J281" s="10">
        <v>5360710</v>
      </c>
      <c r="K281" s="11">
        <v>-41.895400000000002</v>
      </c>
      <c r="L281" s="11">
        <v>145.47349</v>
      </c>
      <c r="M281" s="8" t="s">
        <v>21</v>
      </c>
      <c r="N281" s="8" t="s">
        <v>37</v>
      </c>
      <c r="O281" s="8">
        <v>2</v>
      </c>
      <c r="P281" s="8">
        <v>2</v>
      </c>
    </row>
    <row r="282" spans="1:16" x14ac:dyDescent="0.15">
      <c r="A282" s="7" t="s">
        <v>468</v>
      </c>
      <c r="B282" s="9" t="str">
        <f>VLOOKUP(D282,[1]TASMaps!$H$4:$K$269,3,FALSE)</f>
        <v>TK10</v>
      </c>
      <c r="C282" s="9" t="str">
        <f>VLOOKUP(D282,[1]TASMaps!$H$4:$K$269,4,FALSE)</f>
        <v>Nicholas</v>
      </c>
      <c r="D282" s="9">
        <v>5839</v>
      </c>
      <c r="E282" s="9" t="s">
        <v>469</v>
      </c>
      <c r="F282" s="9" t="s">
        <v>30</v>
      </c>
      <c r="G282" s="9" t="s">
        <v>44</v>
      </c>
      <c r="H282" s="8" t="s">
        <v>20</v>
      </c>
      <c r="I282" s="10">
        <v>589080</v>
      </c>
      <c r="J282" s="10">
        <v>5399950</v>
      </c>
      <c r="K282" s="11">
        <v>-41.547150000000002</v>
      </c>
      <c r="L282" s="11">
        <v>148.06807000000001</v>
      </c>
      <c r="N282" s="8" t="s">
        <v>37</v>
      </c>
      <c r="P282" s="8">
        <v>1</v>
      </c>
    </row>
    <row r="283" spans="1:16" x14ac:dyDescent="0.15">
      <c r="A283" s="9" t="s">
        <v>470</v>
      </c>
      <c r="B283" s="9" t="str">
        <f>VLOOKUP(D283,[1]TASMaps!$H$4:$K$269,3,FALSE)</f>
        <v>TJ06</v>
      </c>
      <c r="C283" s="9" t="str">
        <f>VLOOKUP(D283,[1]TASMaps!$H$4:$K$269,4,FALSE)</f>
        <v>Paloona</v>
      </c>
      <c r="D283" s="9">
        <v>4242</v>
      </c>
      <c r="E283" s="9" t="s">
        <v>471</v>
      </c>
      <c r="F283" s="9" t="s">
        <v>135</v>
      </c>
      <c r="G283" s="9" t="s">
        <v>142</v>
      </c>
      <c r="H283" s="8" t="s">
        <v>20</v>
      </c>
      <c r="I283" s="10">
        <v>435530</v>
      </c>
      <c r="J283" s="10">
        <v>5426040</v>
      </c>
      <c r="K283" s="11">
        <v>-41.314529999999998</v>
      </c>
      <c r="L283" s="11">
        <v>146.22976</v>
      </c>
      <c r="N283" s="8" t="s">
        <v>37</v>
      </c>
      <c r="P283" s="8">
        <v>1</v>
      </c>
    </row>
    <row r="284" spans="1:16" x14ac:dyDescent="0.15">
      <c r="A284" s="9" t="s">
        <v>472</v>
      </c>
      <c r="B284" s="9" t="str">
        <f>VLOOKUP(D284,[1]TASMaps!$H$4:$K$269,3,FALSE)</f>
        <v>TM05</v>
      </c>
      <c r="C284" s="9" t="str">
        <f>VLOOKUP(D284,[1]TASMaps!$H$4:$K$269,4,FALSE)</f>
        <v>Eldon</v>
      </c>
      <c r="D284" s="9">
        <v>3833</v>
      </c>
      <c r="E284" s="9" t="s">
        <v>473</v>
      </c>
      <c r="F284" s="9" t="s">
        <v>23</v>
      </c>
      <c r="G284" s="9" t="s">
        <v>24</v>
      </c>
      <c r="H284" s="8" t="s">
        <v>20</v>
      </c>
      <c r="I284" s="10">
        <v>384140</v>
      </c>
      <c r="J284" s="10">
        <v>5331120</v>
      </c>
      <c r="K284" s="11">
        <v>-42.16348</v>
      </c>
      <c r="L284" s="11">
        <v>145.59744000000001</v>
      </c>
      <c r="N284" s="8" t="s">
        <v>37</v>
      </c>
      <c r="P284" s="8">
        <v>1</v>
      </c>
    </row>
    <row r="285" spans="1:16" x14ac:dyDescent="0.15">
      <c r="A285" s="7" t="s">
        <v>474</v>
      </c>
      <c r="B285" s="9" t="str">
        <f>VLOOKUP(D285,[1]TASMaps!$H$4:$K$269,3,FALSE)</f>
        <v>TR06</v>
      </c>
      <c r="C285" s="9" t="str">
        <f>VLOOKUP(D285,[1]TASMaps!$H$4:$K$269,4,FALSE)</f>
        <v>Western Arthur</v>
      </c>
      <c r="D285" s="9">
        <v>4421</v>
      </c>
      <c r="E285" s="9" t="s">
        <v>46</v>
      </c>
      <c r="F285" s="9" t="s">
        <v>30</v>
      </c>
      <c r="G285" s="9" t="s">
        <v>27</v>
      </c>
      <c r="H285" s="8" t="s">
        <v>20</v>
      </c>
      <c r="I285" s="10">
        <v>454600</v>
      </c>
      <c r="J285" s="10">
        <v>5214310</v>
      </c>
      <c r="K285" s="11">
        <v>-43.222630000000002</v>
      </c>
      <c r="L285" s="11">
        <v>146.44098</v>
      </c>
      <c r="N285" s="8">
        <v>3</v>
      </c>
      <c r="O285" s="8">
        <v>3</v>
      </c>
      <c r="P285" s="8">
        <v>3</v>
      </c>
    </row>
    <row r="286" spans="1:16" x14ac:dyDescent="0.15">
      <c r="A286" s="9" t="s">
        <v>475</v>
      </c>
      <c r="B286" s="9" t="str">
        <f>VLOOKUP(D286,[1]TASMaps!$H$4:$K$269,3,FALSE)</f>
        <v>TK08</v>
      </c>
      <c r="C286" s="9" t="str">
        <f>VLOOKUP(D286,[1]TASMaps!$H$4:$K$269,4,FALSE)</f>
        <v>Perth</v>
      </c>
      <c r="D286" s="9">
        <v>5241</v>
      </c>
      <c r="E286" s="9" t="s">
        <v>122</v>
      </c>
      <c r="F286" s="9" t="s">
        <v>30</v>
      </c>
      <c r="G286" s="9" t="s">
        <v>87</v>
      </c>
      <c r="H286" s="8" t="s">
        <v>20</v>
      </c>
      <c r="I286" s="10">
        <v>522940</v>
      </c>
      <c r="J286" s="10">
        <v>5418320</v>
      </c>
      <c r="K286" s="11">
        <v>-41.386319999999998</v>
      </c>
      <c r="L286" s="11">
        <v>147.27437</v>
      </c>
      <c r="N286" s="8" t="s">
        <v>37</v>
      </c>
      <c r="P286" s="8">
        <v>1</v>
      </c>
    </row>
    <row r="287" spans="1:16" x14ac:dyDescent="0.15">
      <c r="A287" s="7" t="s">
        <v>476</v>
      </c>
      <c r="B287" s="9" t="str">
        <f>VLOOKUP(D287,[1]TASMaps!$H$4:$K$269,3,FALSE)</f>
        <v>TK03</v>
      </c>
      <c r="C287" s="9" t="str">
        <f>VLOOKUP(D287,[1]TASMaps!$H$4:$K$269,4,FALSE)</f>
        <v>Norfolk Range</v>
      </c>
      <c r="D287" s="9">
        <v>3240</v>
      </c>
      <c r="E287" s="9" t="s">
        <v>477</v>
      </c>
      <c r="F287" s="9" t="s">
        <v>30</v>
      </c>
      <c r="G287" s="9" t="s">
        <v>107</v>
      </c>
      <c r="H287" s="8" t="s">
        <v>20</v>
      </c>
      <c r="I287" s="10">
        <v>333160</v>
      </c>
      <c r="J287" s="10">
        <v>5409290</v>
      </c>
      <c r="K287" s="11">
        <v>-41.450629999999997</v>
      </c>
      <c r="L287" s="11">
        <v>145.00259</v>
      </c>
      <c r="N287" s="8" t="s">
        <v>37</v>
      </c>
      <c r="O287" s="8">
        <v>2</v>
      </c>
      <c r="P287" s="8">
        <v>2</v>
      </c>
    </row>
    <row r="288" spans="1:16" x14ac:dyDescent="0.15">
      <c r="A288" s="9" t="s">
        <v>478</v>
      </c>
      <c r="B288" s="9" t="str">
        <f>VLOOKUP(D288,[1]TASMaps!$H$4:$K$269,3,FALSE)</f>
        <v>TJ09</v>
      </c>
      <c r="C288" s="9" t="str">
        <f>VLOOKUP(D288,[1]TASMaps!$H$4:$K$269,4,FALSE)</f>
        <v>Legerwood</v>
      </c>
      <c r="D288" s="9">
        <v>5642</v>
      </c>
      <c r="E288" s="9" t="s">
        <v>43</v>
      </c>
      <c r="F288" s="9" t="s">
        <v>23</v>
      </c>
      <c r="G288" s="9" t="s">
        <v>44</v>
      </c>
      <c r="H288" s="8" t="s">
        <v>20</v>
      </c>
      <c r="I288" s="10">
        <v>576070</v>
      </c>
      <c r="J288" s="10">
        <v>5421700</v>
      </c>
      <c r="K288" s="11">
        <v>-41.352609999999999</v>
      </c>
      <c r="L288" s="11">
        <v>147.90935999999999</v>
      </c>
      <c r="N288" s="8" t="s">
        <v>37</v>
      </c>
      <c r="P288" s="8">
        <v>1</v>
      </c>
    </row>
    <row r="289" spans="1:16" x14ac:dyDescent="0.15">
      <c r="A289" s="7" t="s">
        <v>479</v>
      </c>
      <c r="B289" s="9" t="str">
        <f>VLOOKUP(D289,[1]TASMaps!$H$4:$K$269,3,FALSE)</f>
        <v>TM05</v>
      </c>
      <c r="C289" s="9" t="str">
        <f>VLOOKUP(D289,[1]TASMaps!$H$4:$K$269,4,FALSE)</f>
        <v>Eldon</v>
      </c>
      <c r="D289" s="9">
        <v>4035</v>
      </c>
      <c r="E289" s="9" t="s">
        <v>291</v>
      </c>
      <c r="F289" s="9" t="s">
        <v>30</v>
      </c>
      <c r="G289" s="9" t="s">
        <v>24</v>
      </c>
      <c r="H289" s="8" t="s">
        <v>20</v>
      </c>
      <c r="I289" s="10">
        <v>402770</v>
      </c>
      <c r="J289" s="10">
        <v>5352170</v>
      </c>
      <c r="K289" s="11">
        <v>-41.976469999999999</v>
      </c>
      <c r="L289" s="11">
        <v>145.82642000000001</v>
      </c>
      <c r="M289" s="8" t="s">
        <v>21</v>
      </c>
      <c r="N289" s="8">
        <v>5</v>
      </c>
      <c r="O289" s="8">
        <v>5</v>
      </c>
      <c r="P289" s="8">
        <v>5</v>
      </c>
    </row>
    <row r="290" spans="1:16" x14ac:dyDescent="0.15">
      <c r="A290" s="7" t="s">
        <v>480</v>
      </c>
      <c r="B290" s="9" t="str">
        <f>VLOOKUP(D290,[1]TASMaps!$H$4:$K$269,3,FALSE)</f>
        <v>TM05</v>
      </c>
      <c r="C290" s="9" t="str">
        <f>VLOOKUP(D290,[1]TASMaps!$H$4:$K$269,4,FALSE)</f>
        <v>Eldon</v>
      </c>
      <c r="D290" s="9">
        <v>3835</v>
      </c>
      <c r="E290" s="9" t="s">
        <v>126</v>
      </c>
      <c r="F290" s="9" t="s">
        <v>23</v>
      </c>
      <c r="G290" s="9" t="s">
        <v>24</v>
      </c>
      <c r="H290" s="8" t="s">
        <v>20</v>
      </c>
      <c r="I290" s="10">
        <v>394980</v>
      </c>
      <c r="J290" s="10">
        <v>5352350</v>
      </c>
      <c r="K290" s="11">
        <v>-41.973849999999999</v>
      </c>
      <c r="L290" s="11">
        <v>145.73244</v>
      </c>
      <c r="M290" s="8" t="s">
        <v>21</v>
      </c>
      <c r="N290" s="8">
        <v>5</v>
      </c>
      <c r="O290" s="8">
        <v>5</v>
      </c>
      <c r="P290" s="8">
        <v>5</v>
      </c>
    </row>
    <row r="291" spans="1:16" x14ac:dyDescent="0.15">
      <c r="A291" s="7" t="s">
        <v>481</v>
      </c>
      <c r="B291" s="9" t="str">
        <f>VLOOKUP(D291,[1]TASMaps!$H$4:$K$269,3,FALSE)</f>
        <v>TM05</v>
      </c>
      <c r="C291" s="9" t="str">
        <f>VLOOKUP(D291,[1]TASMaps!$H$4:$K$269,4,FALSE)</f>
        <v>Eldon</v>
      </c>
      <c r="D291" s="9">
        <v>4035</v>
      </c>
      <c r="E291" s="9" t="s">
        <v>291</v>
      </c>
      <c r="F291" s="9" t="s">
        <v>104</v>
      </c>
      <c r="G291" s="9" t="s">
        <v>24</v>
      </c>
      <c r="H291" s="8" t="s">
        <v>20</v>
      </c>
      <c r="I291" s="10">
        <v>400910</v>
      </c>
      <c r="J291" s="10">
        <v>5353170</v>
      </c>
      <c r="K291" s="11">
        <v>-41.967230000000001</v>
      </c>
      <c r="L291" s="11">
        <v>145.80413999999999</v>
      </c>
      <c r="M291" s="8" t="s">
        <v>21</v>
      </c>
      <c r="N291" s="8" t="s">
        <v>37</v>
      </c>
      <c r="P291" s="8">
        <v>4</v>
      </c>
    </row>
    <row r="292" spans="1:16" x14ac:dyDescent="0.15">
      <c r="A292" s="9" t="s">
        <v>482</v>
      </c>
      <c r="B292" s="9" t="str">
        <f>VLOOKUP(D292,[1]TASMaps!$H$4:$K$269,3,FALSE)</f>
        <v>TQ05</v>
      </c>
      <c r="C292" s="9" t="str">
        <f>VLOOKUP(D292,[1]TASMaps!$H$4:$K$269,4,FALSE)</f>
        <v>Dohertys</v>
      </c>
      <c r="D292" s="9">
        <v>3825</v>
      </c>
      <c r="E292" s="9" t="s">
        <v>483</v>
      </c>
      <c r="F292" s="9" t="s">
        <v>30</v>
      </c>
      <c r="G292" s="9" t="s">
        <v>24</v>
      </c>
      <c r="H292" s="8" t="s">
        <v>20</v>
      </c>
      <c r="I292" s="10">
        <v>398490</v>
      </c>
      <c r="J292" s="10">
        <v>5254420</v>
      </c>
      <c r="K292" s="11">
        <v>-42.856059999999999</v>
      </c>
      <c r="L292" s="11">
        <v>145.75751</v>
      </c>
      <c r="N292" s="8" t="s">
        <v>37</v>
      </c>
      <c r="P292" s="8">
        <v>1</v>
      </c>
    </row>
    <row r="293" spans="1:16" x14ac:dyDescent="0.15">
      <c r="A293" s="7" t="s">
        <v>484</v>
      </c>
      <c r="B293" s="9" t="str">
        <f>VLOOKUP(D293,[1]TASMaps!$H$4:$K$269,3,FALSE)</f>
        <v>TK10</v>
      </c>
      <c r="C293" s="9" t="str">
        <f>VLOOKUP(D293,[1]TASMaps!$H$4:$K$269,4,FALSE)</f>
        <v>Nicholas</v>
      </c>
      <c r="D293" s="9">
        <v>6039</v>
      </c>
      <c r="E293" s="9" t="s">
        <v>485</v>
      </c>
      <c r="F293" s="9" t="s">
        <v>30</v>
      </c>
      <c r="G293" s="9" t="s">
        <v>44</v>
      </c>
      <c r="H293" s="8" t="s">
        <v>20</v>
      </c>
      <c r="I293" s="10">
        <v>603935</v>
      </c>
      <c r="J293" s="10">
        <v>5391945</v>
      </c>
      <c r="K293" s="11">
        <v>-41.617449999999998</v>
      </c>
      <c r="L293" s="11">
        <v>148.24753000000001</v>
      </c>
      <c r="N293" s="8" t="s">
        <v>37</v>
      </c>
      <c r="O293" s="8">
        <v>1</v>
      </c>
      <c r="P293" s="8">
        <v>1</v>
      </c>
    </row>
    <row r="294" spans="1:16" x14ac:dyDescent="0.15">
      <c r="A294" s="9" t="s">
        <v>486</v>
      </c>
      <c r="B294" s="9" t="str">
        <f>VLOOKUP(D294,[1]TASMaps!$H$4:$K$269,3,FALSE)</f>
        <v>TQ06</v>
      </c>
      <c r="C294" s="9" t="str">
        <f>VLOOKUP(D294,[1]TASMaps!$H$4:$K$269,4,FALSE)</f>
        <v>Lake Pedder</v>
      </c>
      <c r="D294" s="9">
        <v>4424</v>
      </c>
      <c r="E294" s="9" t="s">
        <v>69</v>
      </c>
      <c r="F294" s="9" t="s">
        <v>30</v>
      </c>
      <c r="G294" s="9" t="s">
        <v>19</v>
      </c>
      <c r="H294" s="8" t="s">
        <v>20</v>
      </c>
      <c r="I294" s="10">
        <v>452480</v>
      </c>
      <c r="J294" s="10">
        <v>5243050</v>
      </c>
      <c r="K294" s="11">
        <v>-42.963709999999999</v>
      </c>
      <c r="L294" s="11">
        <v>146.41734</v>
      </c>
      <c r="N294" s="8" t="s">
        <v>37</v>
      </c>
      <c r="P294" s="8">
        <v>1</v>
      </c>
    </row>
    <row r="295" spans="1:16" x14ac:dyDescent="0.15">
      <c r="A295" s="7" t="s">
        <v>487</v>
      </c>
      <c r="B295" s="9" t="str">
        <f>VLOOKUP(D295,[1]TASMaps!$H$4:$K$269,3,FALSE)</f>
        <v>TQ06</v>
      </c>
      <c r="C295" s="9" t="str">
        <f>VLOOKUP(D295,[1]TASMaps!$H$4:$K$269,4,FALSE)</f>
        <v>Lake Pedder</v>
      </c>
      <c r="D295" s="9">
        <v>4424</v>
      </c>
      <c r="E295" s="9" t="s">
        <v>69</v>
      </c>
      <c r="F295" s="9" t="s">
        <v>30</v>
      </c>
      <c r="G295" s="9" t="s">
        <v>19</v>
      </c>
      <c r="H295" s="8" t="s">
        <v>20</v>
      </c>
      <c r="I295" s="10">
        <v>451645</v>
      </c>
      <c r="J295" s="10">
        <v>5243100</v>
      </c>
      <c r="K295" s="11">
        <v>-42.963209999999997</v>
      </c>
      <c r="L295" s="11">
        <v>146.40710000000001</v>
      </c>
      <c r="N295" s="8" t="s">
        <v>37</v>
      </c>
      <c r="O295" s="8">
        <v>2</v>
      </c>
      <c r="P295" s="8">
        <v>2</v>
      </c>
    </row>
    <row r="296" spans="1:16" x14ac:dyDescent="0.15">
      <c r="A296" s="7" t="s">
        <v>488</v>
      </c>
      <c r="B296" s="9" t="str">
        <f>VLOOKUP(D296,[1]TASMaps!$H$4:$K$269,3,FALSE)</f>
        <v>TP05</v>
      </c>
      <c r="C296" s="9" t="str">
        <f>VLOOKUP(D296,[1]TASMaps!$H$4:$K$269,4,FALSE)</f>
        <v>Princess Range</v>
      </c>
      <c r="D296" s="9">
        <v>3829</v>
      </c>
      <c r="E296" s="9" t="s">
        <v>489</v>
      </c>
      <c r="F296" s="9" t="s">
        <v>104</v>
      </c>
      <c r="G296" s="9" t="s">
        <v>24</v>
      </c>
      <c r="H296" s="8" t="s">
        <v>20</v>
      </c>
      <c r="I296" s="10">
        <v>394830</v>
      </c>
      <c r="J296" s="10">
        <v>5296400</v>
      </c>
      <c r="K296" s="11">
        <v>-42.477609999999999</v>
      </c>
      <c r="L296" s="11">
        <v>145.72049999999999</v>
      </c>
      <c r="N296" s="8" t="s">
        <v>37</v>
      </c>
      <c r="O296" s="8">
        <v>2</v>
      </c>
      <c r="P296" s="8">
        <v>2</v>
      </c>
    </row>
    <row r="297" spans="1:16" x14ac:dyDescent="0.15">
      <c r="A297" s="7" t="s">
        <v>490</v>
      </c>
      <c r="B297" s="9" t="str">
        <f>VLOOKUP(D297,[1]TASMaps!$H$4:$K$269,3,FALSE)</f>
        <v>TN05</v>
      </c>
      <c r="C297" s="9" t="str">
        <f>VLOOKUP(D297,[1]TASMaps!$H$4:$K$269,4,FALSE)</f>
        <v>Frenchmans</v>
      </c>
      <c r="D297" s="9">
        <v>4031</v>
      </c>
      <c r="E297" s="9" t="s">
        <v>337</v>
      </c>
      <c r="F297" s="9" t="s">
        <v>30</v>
      </c>
      <c r="G297" s="9" t="s">
        <v>24</v>
      </c>
      <c r="H297" s="8" t="s">
        <v>20</v>
      </c>
      <c r="I297" s="10">
        <v>415450</v>
      </c>
      <c r="J297" s="10">
        <v>5315430</v>
      </c>
      <c r="K297" s="11">
        <v>-42.308779999999999</v>
      </c>
      <c r="L297" s="11">
        <v>145.97411</v>
      </c>
      <c r="N297" s="8" t="s">
        <v>37</v>
      </c>
      <c r="O297" s="8">
        <v>2</v>
      </c>
      <c r="P297" s="8">
        <v>2</v>
      </c>
    </row>
    <row r="298" spans="1:16" x14ac:dyDescent="0.15">
      <c r="A298" s="7" t="s">
        <v>491</v>
      </c>
      <c r="B298" s="9" t="str">
        <f>VLOOKUP(D298,[1]TASMaps!$H$4:$K$269,3,FALSE)</f>
        <v>TL05</v>
      </c>
      <c r="C298" s="9" t="str">
        <f>VLOOKUP(D298,[1]TASMaps!$H$4:$K$269,4,FALSE)</f>
        <v>Murchison</v>
      </c>
      <c r="D298" s="9">
        <v>4038</v>
      </c>
      <c r="E298" s="9" t="s">
        <v>90</v>
      </c>
      <c r="F298" s="9" t="s">
        <v>30</v>
      </c>
      <c r="G298" s="9" t="s">
        <v>33</v>
      </c>
      <c r="H298" s="8" t="s">
        <v>20</v>
      </c>
      <c r="I298" s="10">
        <v>415335</v>
      </c>
      <c r="J298" s="10">
        <v>5381915</v>
      </c>
      <c r="K298" s="11">
        <v>-41.710050000000003</v>
      </c>
      <c r="L298" s="11">
        <v>145.98231000000001</v>
      </c>
      <c r="M298" s="8" t="s">
        <v>21</v>
      </c>
      <c r="N298" s="8" t="s">
        <v>37</v>
      </c>
      <c r="O298" s="8">
        <v>1</v>
      </c>
      <c r="P298" s="8">
        <v>2</v>
      </c>
    </row>
    <row r="299" spans="1:16" x14ac:dyDescent="0.15">
      <c r="A299" s="9" t="s">
        <v>492</v>
      </c>
      <c r="B299" s="9" t="str">
        <f>VLOOKUP(D299,[1]TASMaps!$H$4:$K$269,3,FALSE)</f>
        <v>TH09</v>
      </c>
      <c r="C299" s="9" t="str">
        <f>VLOOKUP(D299,[1]TASMaps!$H$4:$K$269,4,FALSE)</f>
        <v>Boobyalla</v>
      </c>
      <c r="D299" s="9">
        <v>5646</v>
      </c>
      <c r="E299" s="9" t="s">
        <v>268</v>
      </c>
      <c r="F299" s="9" t="s">
        <v>30</v>
      </c>
      <c r="G299" s="9" t="s">
        <v>210</v>
      </c>
      <c r="H299" s="8" t="s">
        <v>20</v>
      </c>
      <c r="I299" s="10">
        <v>579730</v>
      </c>
      <c r="J299" s="10">
        <v>5461430</v>
      </c>
      <c r="K299" s="11">
        <v>-40.994419999999998</v>
      </c>
      <c r="L299" s="11">
        <v>147.94793000000001</v>
      </c>
      <c r="N299" s="8" t="s">
        <v>37</v>
      </c>
      <c r="P299" s="8">
        <v>1</v>
      </c>
    </row>
    <row r="300" spans="1:16" x14ac:dyDescent="0.15">
      <c r="A300" s="7" t="s">
        <v>493</v>
      </c>
      <c r="B300" s="9" t="str">
        <f>VLOOKUP(D300,[1]TASMaps!$H$4:$K$269,3,FALSE)</f>
        <v>TM05</v>
      </c>
      <c r="C300" s="9" t="str">
        <f>VLOOKUP(D300,[1]TASMaps!$H$4:$K$269,4,FALSE)</f>
        <v>Eldon</v>
      </c>
      <c r="D300" s="9">
        <v>4035</v>
      </c>
      <c r="E300" s="9" t="s">
        <v>291</v>
      </c>
      <c r="F300" s="9" t="s">
        <v>30</v>
      </c>
      <c r="G300" s="9" t="s">
        <v>24</v>
      </c>
      <c r="H300" s="8" t="s">
        <v>20</v>
      </c>
      <c r="I300" s="10">
        <v>419670</v>
      </c>
      <c r="J300" s="10">
        <v>5358140</v>
      </c>
      <c r="K300" s="11">
        <v>-41.924610000000001</v>
      </c>
      <c r="L300" s="11">
        <v>146.03119000000001</v>
      </c>
      <c r="N300" s="8" t="s">
        <v>37</v>
      </c>
      <c r="O300" s="8">
        <v>1</v>
      </c>
      <c r="P300" s="8">
        <v>2</v>
      </c>
    </row>
    <row r="301" spans="1:16" x14ac:dyDescent="0.15">
      <c r="A301" s="7" t="s">
        <v>494</v>
      </c>
      <c r="B301" s="9" t="str">
        <f>VLOOKUP(D301,[1]TASMaps!$H$4:$K$269,3,FALSE)</f>
        <v>TS07</v>
      </c>
      <c r="C301" s="9" t="str">
        <f>VLOOKUP(D301,[1]TASMaps!$H$4:$K$269,4,FALSE)</f>
        <v>Adamsons</v>
      </c>
      <c r="D301" s="9">
        <v>4820</v>
      </c>
      <c r="E301" s="9" t="s">
        <v>39</v>
      </c>
      <c r="F301" s="9" t="s">
        <v>23</v>
      </c>
      <c r="G301" s="9" t="s">
        <v>27</v>
      </c>
      <c r="H301" s="8" t="s">
        <v>20</v>
      </c>
      <c r="I301" s="10">
        <v>484550</v>
      </c>
      <c r="J301" s="10">
        <v>5205570</v>
      </c>
      <c r="K301" s="11">
        <v>-43.30254</v>
      </c>
      <c r="L301" s="11">
        <v>146.80950999999999</v>
      </c>
      <c r="N301" s="8" t="s">
        <v>37</v>
      </c>
      <c r="O301" s="8">
        <v>2</v>
      </c>
      <c r="P301" s="8">
        <v>2</v>
      </c>
    </row>
    <row r="302" spans="1:16" x14ac:dyDescent="0.15">
      <c r="A302" s="9" t="s">
        <v>495</v>
      </c>
      <c r="B302" s="9" t="str">
        <f>VLOOKUP(D302,[1]TASMaps!$H$4:$K$269,3,FALSE)</f>
        <v>TS08</v>
      </c>
      <c r="C302" s="9" t="str">
        <f>VLOOKUP(D302,[1]TASMaps!$H$4:$K$269,4,FALSE)</f>
        <v>South Bruny</v>
      </c>
      <c r="D302" s="9">
        <v>5020</v>
      </c>
      <c r="E302" s="9" t="s">
        <v>496</v>
      </c>
      <c r="F302" s="9" t="s">
        <v>30</v>
      </c>
      <c r="G302" s="9" t="s">
        <v>27</v>
      </c>
      <c r="H302" s="8" t="s">
        <v>20</v>
      </c>
      <c r="I302" s="10">
        <v>502630</v>
      </c>
      <c r="J302" s="10">
        <v>5209700</v>
      </c>
      <c r="K302" s="11">
        <v>-43.265509999999999</v>
      </c>
      <c r="L302" s="11">
        <v>147.03241</v>
      </c>
      <c r="N302" s="8" t="s">
        <v>37</v>
      </c>
      <c r="P302" s="8">
        <v>1</v>
      </c>
    </row>
    <row r="303" spans="1:16" x14ac:dyDescent="0.15">
      <c r="A303" s="7" t="s">
        <v>497</v>
      </c>
      <c r="B303" s="9" t="str">
        <f>VLOOKUP(D303,[1]TASMaps!$H$4:$K$269,3,FALSE)</f>
        <v>TP08</v>
      </c>
      <c r="C303" s="9" t="str">
        <f>VLOOKUP(D303,[1]TASMaps!$H$4:$K$269,4,FALSE)</f>
        <v>Green Ponds</v>
      </c>
      <c r="D303" s="9">
        <v>5028</v>
      </c>
      <c r="E303" s="9" t="s">
        <v>498</v>
      </c>
      <c r="F303" s="9" t="s">
        <v>30</v>
      </c>
      <c r="G303" s="9" t="s">
        <v>36</v>
      </c>
      <c r="H303" s="8" t="s">
        <v>20</v>
      </c>
      <c r="I303" s="10">
        <v>501300</v>
      </c>
      <c r="J303" s="10">
        <v>5287190</v>
      </c>
      <c r="K303" s="11">
        <v>-42.567700000000002</v>
      </c>
      <c r="L303" s="11">
        <v>147.01584</v>
      </c>
      <c r="N303" s="8" t="s">
        <v>37</v>
      </c>
      <c r="P303" s="8">
        <v>1</v>
      </c>
    </row>
    <row r="304" spans="1:16" x14ac:dyDescent="0.15">
      <c r="A304" s="7" t="s">
        <v>499</v>
      </c>
      <c r="B304" s="9" t="str">
        <f>VLOOKUP(D304,[1]TASMaps!$H$4:$K$269,3,FALSE)</f>
        <v>TQ06</v>
      </c>
      <c r="C304" s="9" t="str">
        <f>VLOOKUP(D304,[1]TASMaps!$H$4:$K$269,4,FALSE)</f>
        <v>Lake Pedder</v>
      </c>
      <c r="D304" s="9">
        <v>4424</v>
      </c>
      <c r="E304" s="9" t="s">
        <v>69</v>
      </c>
      <c r="F304" s="9" t="s">
        <v>23</v>
      </c>
      <c r="G304" s="9" t="s">
        <v>19</v>
      </c>
      <c r="H304" s="8" t="s">
        <v>20</v>
      </c>
      <c r="I304" s="10">
        <v>453170</v>
      </c>
      <c r="J304" s="10">
        <v>5244360</v>
      </c>
      <c r="K304" s="11">
        <v>-42.95196</v>
      </c>
      <c r="L304" s="11">
        <v>146.42590999999999</v>
      </c>
      <c r="N304" s="8" t="s">
        <v>37</v>
      </c>
      <c r="O304" s="8">
        <v>1</v>
      </c>
      <c r="P304" s="8">
        <v>1</v>
      </c>
    </row>
    <row r="305" spans="1:16" x14ac:dyDescent="0.15">
      <c r="A305" s="7" t="s">
        <v>500</v>
      </c>
      <c r="B305" s="9" t="str">
        <f>VLOOKUP(D305,[1]TASMaps!$H$4:$K$269,3,FALSE)</f>
        <v>TJ05</v>
      </c>
      <c r="C305" s="9" t="str">
        <f>VLOOKUP(D305,[1]TASMaps!$H$4:$K$269,4,FALSE)</f>
        <v>Emu River</v>
      </c>
      <c r="D305" s="9">
        <v>4042</v>
      </c>
      <c r="E305" s="9" t="s">
        <v>501</v>
      </c>
      <c r="F305" s="9" t="s">
        <v>30</v>
      </c>
      <c r="G305" s="9" t="s">
        <v>113</v>
      </c>
      <c r="H305" s="8" t="s">
        <v>20</v>
      </c>
      <c r="I305" s="10">
        <v>405090</v>
      </c>
      <c r="J305" s="10">
        <v>5420620</v>
      </c>
      <c r="K305" s="11">
        <v>-41.360329999999998</v>
      </c>
      <c r="L305" s="11">
        <v>145.86528999999999</v>
      </c>
      <c r="N305" s="8" t="s">
        <v>37</v>
      </c>
      <c r="O305" s="8">
        <v>1</v>
      </c>
      <c r="P305" s="8">
        <v>1</v>
      </c>
    </row>
    <row r="306" spans="1:16" x14ac:dyDescent="0.15">
      <c r="A306" s="7" t="s">
        <v>502</v>
      </c>
      <c r="B306" s="9" t="str">
        <f>VLOOKUP(D306,[1]TASMaps!$H$4:$K$269,3,FALSE)</f>
        <v>TP06</v>
      </c>
      <c r="C306" s="9" t="str">
        <f>VLOOKUP(D306,[1]TASMaps!$H$4:$K$269,4,FALSE)</f>
        <v>Denison Range</v>
      </c>
      <c r="D306" s="9">
        <v>4229</v>
      </c>
      <c r="E306" s="9" t="s">
        <v>128</v>
      </c>
      <c r="F306" s="9" t="s">
        <v>30</v>
      </c>
      <c r="G306" s="9" t="s">
        <v>19</v>
      </c>
      <c r="H306" s="8" t="s">
        <v>20</v>
      </c>
      <c r="I306" s="10">
        <v>428320</v>
      </c>
      <c r="J306" s="10">
        <v>5293420</v>
      </c>
      <c r="K306" s="11">
        <v>-42.508270000000003</v>
      </c>
      <c r="L306" s="11">
        <v>146.12751</v>
      </c>
      <c r="N306" s="8" t="s">
        <v>37</v>
      </c>
      <c r="O306" s="8">
        <v>2</v>
      </c>
      <c r="P306" s="8">
        <v>2</v>
      </c>
    </row>
    <row r="307" spans="1:16" x14ac:dyDescent="0.15">
      <c r="A307" s="7" t="s">
        <v>503</v>
      </c>
      <c r="B307" s="9" t="str">
        <f>VLOOKUP(D307,[1]TASMaps!$H$4:$K$269,3,FALSE)</f>
        <v>TL05</v>
      </c>
      <c r="C307" s="9" t="str">
        <f>VLOOKUP(D307,[1]TASMaps!$H$4:$K$269,4,FALSE)</f>
        <v>Murchison</v>
      </c>
      <c r="D307" s="9">
        <v>3837</v>
      </c>
      <c r="E307" s="9" t="s">
        <v>194</v>
      </c>
      <c r="F307" s="9" t="s">
        <v>30</v>
      </c>
      <c r="G307" s="9" t="s">
        <v>24</v>
      </c>
      <c r="H307" s="8" t="s">
        <v>20</v>
      </c>
      <c r="I307" s="10">
        <v>386720</v>
      </c>
      <c r="J307" s="10">
        <v>5377160</v>
      </c>
      <c r="K307" s="11">
        <v>-41.749310000000001</v>
      </c>
      <c r="L307" s="11">
        <v>145.63751999999999</v>
      </c>
      <c r="N307" s="8" t="s">
        <v>37</v>
      </c>
      <c r="O307" s="8">
        <v>1</v>
      </c>
      <c r="P307" s="8">
        <v>1</v>
      </c>
    </row>
    <row r="308" spans="1:16" x14ac:dyDescent="0.15">
      <c r="A308" s="7" t="s">
        <v>504</v>
      </c>
      <c r="B308" s="9" t="str">
        <f>VLOOKUP(D308,[1]TASMaps!$H$4:$K$269,3,FALSE)</f>
        <v>TQ08</v>
      </c>
      <c r="C308" s="9" t="str">
        <f>VLOOKUP(D308,[1]TASMaps!$H$4:$K$269,4,FALSE)</f>
        <v>Wellington</v>
      </c>
      <c r="D308" s="9">
        <v>5026</v>
      </c>
      <c r="E308" s="9" t="s">
        <v>505</v>
      </c>
      <c r="F308" s="9" t="s">
        <v>30</v>
      </c>
      <c r="G308" s="9" t="s">
        <v>19</v>
      </c>
      <c r="H308" s="8" t="s">
        <v>20</v>
      </c>
      <c r="I308" s="10">
        <v>515870</v>
      </c>
      <c r="J308" s="10">
        <v>5261870</v>
      </c>
      <c r="K308" s="11">
        <v>-42.795549999999999</v>
      </c>
      <c r="L308" s="11">
        <v>147.19406000000001</v>
      </c>
      <c r="N308" s="8" t="s">
        <v>37</v>
      </c>
      <c r="O308" s="8">
        <v>1</v>
      </c>
      <c r="P308" s="8">
        <v>1</v>
      </c>
    </row>
    <row r="309" spans="1:16" x14ac:dyDescent="0.15">
      <c r="A309" s="7" t="s">
        <v>506</v>
      </c>
      <c r="B309" s="9" t="str">
        <f>VLOOKUP(D309,[1]TASMaps!$H$4:$K$269,3,FALSE)</f>
        <v>TS06</v>
      </c>
      <c r="C309" s="9" t="str">
        <f>VLOOKUP(D309,[1]TASMaps!$H$4:$K$269,4,FALSE)</f>
        <v>Bathurst</v>
      </c>
      <c r="D309" s="9">
        <v>4420</v>
      </c>
      <c r="E309" s="9" t="s">
        <v>293</v>
      </c>
      <c r="F309" s="9" t="s">
        <v>23</v>
      </c>
      <c r="G309" s="9" t="s">
        <v>27</v>
      </c>
      <c r="H309" s="8" t="s">
        <v>20</v>
      </c>
      <c r="I309" s="10">
        <v>457460</v>
      </c>
      <c r="J309" s="10">
        <v>5208910</v>
      </c>
      <c r="K309" s="11">
        <v>-43.271419999999999</v>
      </c>
      <c r="L309" s="11">
        <v>146.47577999999999</v>
      </c>
      <c r="M309" s="8" t="s">
        <v>21</v>
      </c>
      <c r="N309" s="8">
        <v>10</v>
      </c>
      <c r="O309" s="8">
        <v>10</v>
      </c>
      <c r="P309" s="8">
        <v>10</v>
      </c>
    </row>
    <row r="310" spans="1:16" x14ac:dyDescent="0.15">
      <c r="A310" s="7" t="s">
        <v>507</v>
      </c>
      <c r="B310" s="9" t="str">
        <f>VLOOKUP(D310,[1]TASMaps!$H$4:$K$269,3,FALSE)</f>
        <v>TM06</v>
      </c>
      <c r="C310" s="9" t="str">
        <f>VLOOKUP(D310,[1]TASMaps!$H$4:$K$269,4,FALSE)</f>
        <v>St Clair</v>
      </c>
      <c r="D310" s="9">
        <v>4435</v>
      </c>
      <c r="E310" s="9" t="s">
        <v>508</v>
      </c>
      <c r="F310" s="9" t="s">
        <v>30</v>
      </c>
      <c r="G310" s="9" t="s">
        <v>36</v>
      </c>
      <c r="H310" s="8" t="s">
        <v>20</v>
      </c>
      <c r="I310" s="10">
        <v>459670</v>
      </c>
      <c r="J310" s="10">
        <v>5352650</v>
      </c>
      <c r="K310" s="11">
        <v>-41.977119999999999</v>
      </c>
      <c r="L310" s="11">
        <v>146.51320000000001</v>
      </c>
      <c r="N310" s="8" t="s">
        <v>37</v>
      </c>
      <c r="P310" s="8">
        <v>1</v>
      </c>
    </row>
    <row r="311" spans="1:16" x14ac:dyDescent="0.15">
      <c r="A311" s="7" t="s">
        <v>509</v>
      </c>
      <c r="B311" s="9" t="str">
        <f>VLOOKUP(D311,[1]TASMaps!$H$4:$K$269,3,FALSE)</f>
        <v>TP07</v>
      </c>
      <c r="C311" s="9" t="str">
        <f>VLOOKUP(D311,[1]TASMaps!$H$4:$K$269,4,FALSE)</f>
        <v>Meadowbank</v>
      </c>
      <c r="D311" s="9">
        <v>4627</v>
      </c>
      <c r="E311" s="9" t="s">
        <v>233</v>
      </c>
      <c r="F311" s="9" t="s">
        <v>30</v>
      </c>
      <c r="G311" s="9" t="s">
        <v>19</v>
      </c>
      <c r="H311" s="8" t="s">
        <v>20</v>
      </c>
      <c r="I311" s="10">
        <v>471020</v>
      </c>
      <c r="J311" s="10">
        <v>5277500</v>
      </c>
      <c r="K311" s="11">
        <v>-42.654420000000002</v>
      </c>
      <c r="L311" s="11">
        <v>146.64643000000001</v>
      </c>
      <c r="M311" s="8" t="s">
        <v>21</v>
      </c>
      <c r="N311" s="8" t="s">
        <v>37</v>
      </c>
      <c r="O311" s="8">
        <v>2</v>
      </c>
      <c r="P311" s="8">
        <v>2</v>
      </c>
    </row>
    <row r="312" spans="1:16" x14ac:dyDescent="0.15">
      <c r="A312" s="7" t="s">
        <v>510</v>
      </c>
      <c r="B312" s="9" t="str">
        <f>VLOOKUP(D312,[1]TASMaps!$H$4:$K$269,3,FALSE)</f>
        <v>TP07</v>
      </c>
      <c r="C312" s="9" t="str">
        <f>VLOOKUP(D312,[1]TASMaps!$H$4:$K$269,4,FALSE)</f>
        <v>Meadowbank</v>
      </c>
      <c r="D312" s="9">
        <v>4627</v>
      </c>
      <c r="E312" s="9" t="s">
        <v>233</v>
      </c>
      <c r="F312" s="9" t="s">
        <v>30</v>
      </c>
      <c r="G312" s="9" t="s">
        <v>19</v>
      </c>
      <c r="H312" s="8" t="s">
        <v>20</v>
      </c>
      <c r="I312" s="10">
        <v>460240</v>
      </c>
      <c r="J312" s="10">
        <v>5277235</v>
      </c>
      <c r="K312" s="11">
        <v>-42.656320000000001</v>
      </c>
      <c r="L312" s="11">
        <v>146.51489000000001</v>
      </c>
      <c r="M312" s="8" t="s">
        <v>21</v>
      </c>
      <c r="N312" s="8">
        <v>3</v>
      </c>
      <c r="O312" s="8">
        <v>3</v>
      </c>
      <c r="P312" s="8">
        <v>3</v>
      </c>
    </row>
    <row r="313" spans="1:16" x14ac:dyDescent="0.15">
      <c r="A313" s="7" t="s">
        <v>511</v>
      </c>
      <c r="B313" s="9" t="str">
        <f>VLOOKUP(D313,[1]TASMaps!$H$4:$K$269,3,FALSE)</f>
        <v>TN05</v>
      </c>
      <c r="C313" s="9" t="str">
        <f>VLOOKUP(D313,[1]TASMaps!$H$4:$K$269,4,FALSE)</f>
        <v>Frenchmans</v>
      </c>
      <c r="D313" s="9">
        <v>3832</v>
      </c>
      <c r="E313" s="9" t="s">
        <v>235</v>
      </c>
      <c r="F313" s="9" t="s">
        <v>30</v>
      </c>
      <c r="G313" s="9" t="s">
        <v>24</v>
      </c>
      <c r="H313" s="8" t="s">
        <v>20</v>
      </c>
      <c r="I313" s="10">
        <v>393130</v>
      </c>
      <c r="J313" s="10">
        <v>5323910</v>
      </c>
      <c r="K313" s="11">
        <v>-42.229680000000002</v>
      </c>
      <c r="L313" s="11">
        <v>145.70491999999999</v>
      </c>
      <c r="N313" s="8" t="s">
        <v>37</v>
      </c>
      <c r="O313" s="8">
        <v>2</v>
      </c>
      <c r="P313" s="8">
        <v>2</v>
      </c>
    </row>
    <row r="314" spans="1:16" x14ac:dyDescent="0.15">
      <c r="A314" s="7" t="s">
        <v>512</v>
      </c>
      <c r="B314" s="9" t="str">
        <f>VLOOKUP(D314,[1]TASMaps!$H$4:$K$269,3,FALSE)</f>
        <v>TL06</v>
      </c>
      <c r="C314" s="9" t="str">
        <f>VLOOKUP(D314,[1]TASMaps!$H$4:$K$269,4,FALSE)</f>
        <v>Jerusalem</v>
      </c>
      <c r="D314" s="9">
        <v>4438</v>
      </c>
      <c r="E314" s="9" t="s">
        <v>124</v>
      </c>
      <c r="F314" s="9" t="s">
        <v>30</v>
      </c>
      <c r="G314" s="9" t="s">
        <v>33</v>
      </c>
      <c r="H314" s="8" t="s">
        <v>20</v>
      </c>
      <c r="I314" s="10">
        <v>443920</v>
      </c>
      <c r="J314" s="10">
        <v>5382490</v>
      </c>
      <c r="K314" s="11">
        <v>-41.7074</v>
      </c>
      <c r="L314" s="11">
        <v>146.32593</v>
      </c>
      <c r="N314" s="8" t="s">
        <v>37</v>
      </c>
      <c r="O314" s="8">
        <v>1</v>
      </c>
      <c r="P314" s="8">
        <v>1</v>
      </c>
    </row>
    <row r="315" spans="1:16" x14ac:dyDescent="0.15">
      <c r="A315" s="7" t="s">
        <v>513</v>
      </c>
      <c r="B315" s="9" t="str">
        <f>VLOOKUP(D315,[1]TASMaps!$H$4:$K$269,3,FALSE)</f>
        <v>TM07</v>
      </c>
      <c r="C315" s="9" t="str">
        <f>VLOOKUP(D315,[1]TASMaps!$H$4:$K$269,4,FALSE)</f>
        <v>Penstock</v>
      </c>
      <c r="D315" s="9">
        <v>4833</v>
      </c>
      <c r="E315" s="9" t="s">
        <v>103</v>
      </c>
      <c r="F315" s="9" t="s">
        <v>18</v>
      </c>
      <c r="G315" s="9" t="s">
        <v>36</v>
      </c>
      <c r="H315" s="8" t="s">
        <v>20</v>
      </c>
      <c r="I315" s="10">
        <v>480370</v>
      </c>
      <c r="J315" s="10">
        <v>5334930</v>
      </c>
      <c r="K315" s="11">
        <v>-42.137500000000003</v>
      </c>
      <c r="L315" s="11">
        <v>146.76246</v>
      </c>
      <c r="N315" s="8" t="s">
        <v>37</v>
      </c>
      <c r="P315" s="8">
        <v>1</v>
      </c>
    </row>
    <row r="316" spans="1:16" x14ac:dyDescent="0.15">
      <c r="A316" s="7" t="s">
        <v>514</v>
      </c>
      <c r="B316" s="9" t="str">
        <f>VLOOKUP(D316,[1]TASMaps!$H$4:$K$269,3,FALSE)</f>
        <v>TK09</v>
      </c>
      <c r="C316" s="9" t="str">
        <f>VLOOKUP(D316,[1]TASMaps!$H$4:$K$269,4,FALSE)</f>
        <v>Ben Lomond</v>
      </c>
      <c r="D316" s="9">
        <v>5439</v>
      </c>
      <c r="E316" s="9" t="s">
        <v>95</v>
      </c>
      <c r="F316" s="9" t="s">
        <v>104</v>
      </c>
      <c r="G316" s="9" t="s">
        <v>78</v>
      </c>
      <c r="H316" s="8" t="s">
        <v>20</v>
      </c>
      <c r="I316" s="10">
        <v>547730</v>
      </c>
      <c r="J316" s="10">
        <v>5393210</v>
      </c>
      <c r="K316" s="11">
        <v>-41.611400000000003</v>
      </c>
      <c r="L316" s="11">
        <v>147.57284999999999</v>
      </c>
      <c r="N316" s="8" t="s">
        <v>37</v>
      </c>
      <c r="P316" s="8">
        <v>1</v>
      </c>
    </row>
    <row r="317" spans="1:16" x14ac:dyDescent="0.15">
      <c r="A317" s="9" t="s">
        <v>515</v>
      </c>
      <c r="B317" s="9" t="str">
        <f>VLOOKUP(D317,[1]TASMaps!$H$4:$K$269,3,FALSE)</f>
        <v>TM07</v>
      </c>
      <c r="C317" s="9" t="str">
        <f>VLOOKUP(D317,[1]TASMaps!$H$4:$K$269,4,FALSE)</f>
        <v>Penstock</v>
      </c>
      <c r="D317" s="9">
        <v>4634</v>
      </c>
      <c r="E317" s="9" t="s">
        <v>120</v>
      </c>
      <c r="F317" s="9" t="s">
        <v>18</v>
      </c>
      <c r="G317" s="9" t="s">
        <v>36</v>
      </c>
      <c r="H317" s="8" t="s">
        <v>20</v>
      </c>
      <c r="I317" s="10">
        <v>477110</v>
      </c>
      <c r="J317" s="10">
        <v>5349010</v>
      </c>
      <c r="K317" s="11">
        <v>-42.010599999999997</v>
      </c>
      <c r="L317" s="11">
        <v>146.72355999999999</v>
      </c>
      <c r="N317" s="8" t="s">
        <v>37</v>
      </c>
      <c r="P317" s="8">
        <v>1</v>
      </c>
    </row>
    <row r="318" spans="1:16" x14ac:dyDescent="0.15">
      <c r="A318" s="7" t="s">
        <v>516</v>
      </c>
      <c r="B318" s="9" t="str">
        <f>VLOOKUP(D318,[1]TASMaps!$H$4:$K$269,3,FALSE)</f>
        <v>TP06</v>
      </c>
      <c r="C318" s="9" t="str">
        <f>VLOOKUP(D318,[1]TASMaps!$H$4:$K$269,4,FALSE)</f>
        <v>Denison Range</v>
      </c>
      <c r="D318" s="9">
        <v>4229</v>
      </c>
      <c r="E318" s="9" t="s">
        <v>128</v>
      </c>
      <c r="F318" s="9" t="s">
        <v>30</v>
      </c>
      <c r="G318" s="9" t="s">
        <v>19</v>
      </c>
      <c r="H318" s="8" t="s">
        <v>20</v>
      </c>
      <c r="I318" s="10">
        <v>428820</v>
      </c>
      <c r="J318" s="10">
        <v>5293590</v>
      </c>
      <c r="K318" s="11">
        <v>-42.506779999999999</v>
      </c>
      <c r="L318" s="11">
        <v>146.13362000000001</v>
      </c>
      <c r="N318" s="8" t="s">
        <v>37</v>
      </c>
      <c r="O318" s="8">
        <v>2</v>
      </c>
      <c r="P318" s="8">
        <v>2</v>
      </c>
    </row>
    <row r="319" spans="1:16" x14ac:dyDescent="0.15">
      <c r="A319" s="7" t="s">
        <v>517</v>
      </c>
      <c r="B319" s="9" t="str">
        <f>VLOOKUP(D319,[1]TASMaps!$H$4:$K$269,3,FALSE)</f>
        <v>TM05</v>
      </c>
      <c r="C319" s="9" t="str">
        <f>VLOOKUP(D319,[1]TASMaps!$H$4:$K$269,4,FALSE)</f>
        <v>Eldon</v>
      </c>
      <c r="D319" s="9">
        <v>4033</v>
      </c>
      <c r="E319" s="9" t="s">
        <v>311</v>
      </c>
      <c r="F319" s="9" t="s">
        <v>30</v>
      </c>
      <c r="G319" s="9" t="s">
        <v>24</v>
      </c>
      <c r="H319" s="8" t="s">
        <v>20</v>
      </c>
      <c r="I319" s="10">
        <v>401180</v>
      </c>
      <c r="J319" s="10">
        <v>5331300</v>
      </c>
      <c r="K319" s="11">
        <v>-42.164200000000001</v>
      </c>
      <c r="L319" s="11">
        <v>145.80369999999999</v>
      </c>
      <c r="N319" s="8" t="s">
        <v>37</v>
      </c>
      <c r="O319" s="8">
        <v>1</v>
      </c>
      <c r="P319" s="8">
        <v>1</v>
      </c>
    </row>
    <row r="320" spans="1:16" x14ac:dyDescent="0.15">
      <c r="A320" s="9" t="s">
        <v>518</v>
      </c>
      <c r="B320" s="9" t="str">
        <f>VLOOKUP(D320,[1]TASMaps!$H$4:$K$269,3,FALSE)</f>
        <v>TN08</v>
      </c>
      <c r="C320" s="9" t="str">
        <f>VLOOKUP(D320,[1]TASMaps!$H$4:$K$269,4,FALSE)</f>
        <v>Tiberias</v>
      </c>
      <c r="D320" s="9">
        <v>5032</v>
      </c>
      <c r="E320" s="9" t="s">
        <v>519</v>
      </c>
      <c r="F320" s="9" t="s">
        <v>18</v>
      </c>
      <c r="G320" s="9" t="s">
        <v>36</v>
      </c>
      <c r="H320" s="8" t="s">
        <v>20</v>
      </c>
      <c r="I320" s="10">
        <v>504830</v>
      </c>
      <c r="J320" s="10">
        <v>5328550</v>
      </c>
      <c r="K320" s="11">
        <v>-42.195189999999997</v>
      </c>
      <c r="L320" s="11">
        <v>147.05850000000001</v>
      </c>
      <c r="N320" s="8" t="s">
        <v>37</v>
      </c>
      <c r="P320" s="8">
        <v>1</v>
      </c>
    </row>
    <row r="321" spans="1:16" x14ac:dyDescent="0.15">
      <c r="A321" s="7" t="s">
        <v>520</v>
      </c>
      <c r="B321" s="9" t="str">
        <f>VLOOKUP(D321,[1]TASMaps!$H$4:$K$269,3,FALSE)</f>
        <v>TP07</v>
      </c>
      <c r="C321" s="9" t="str">
        <f>VLOOKUP(D321,[1]TASMaps!$H$4:$K$269,4,FALSE)</f>
        <v>Meadowbank</v>
      </c>
      <c r="D321" s="9">
        <v>4627</v>
      </c>
      <c r="E321" s="9" t="s">
        <v>233</v>
      </c>
      <c r="F321" s="9" t="s">
        <v>23</v>
      </c>
      <c r="G321" s="9" t="s">
        <v>19</v>
      </c>
      <c r="H321" s="8" t="s">
        <v>20</v>
      </c>
      <c r="I321" s="10">
        <v>462050</v>
      </c>
      <c r="J321" s="10">
        <v>5273940</v>
      </c>
      <c r="K321" s="11">
        <v>-42.686079999999997</v>
      </c>
      <c r="L321" s="11">
        <v>146.53675999999999</v>
      </c>
      <c r="M321" s="8" t="s">
        <v>21</v>
      </c>
      <c r="N321" s="8" t="s">
        <v>37</v>
      </c>
      <c r="O321" s="8">
        <v>2</v>
      </c>
      <c r="P321" s="8">
        <v>2</v>
      </c>
    </row>
    <row r="322" spans="1:16" x14ac:dyDescent="0.15">
      <c r="A322" s="7" t="s">
        <v>521</v>
      </c>
      <c r="B322" s="9" t="str">
        <f>VLOOKUP(D322,[1]TASMaps!$H$4:$K$269,3,FALSE)</f>
        <v>TR06</v>
      </c>
      <c r="C322" s="9" t="str">
        <f>VLOOKUP(D322,[1]TASMaps!$H$4:$K$269,4,FALSE)</f>
        <v>Western Arthur</v>
      </c>
      <c r="D322" s="9">
        <v>4223</v>
      </c>
      <c r="E322" s="9" t="s">
        <v>318</v>
      </c>
      <c r="F322" s="9" t="s">
        <v>104</v>
      </c>
      <c r="G322" s="9" t="s">
        <v>19</v>
      </c>
      <c r="H322" s="8" t="s">
        <v>20</v>
      </c>
      <c r="I322" s="10">
        <v>430810</v>
      </c>
      <c r="J322" s="10">
        <v>5235730</v>
      </c>
      <c r="K322" s="11">
        <v>-43.02796</v>
      </c>
      <c r="L322" s="11">
        <v>146.15074999999999</v>
      </c>
      <c r="N322" s="8" t="s">
        <v>37</v>
      </c>
      <c r="O322" s="8">
        <v>2</v>
      </c>
      <c r="P322" s="8">
        <v>2</v>
      </c>
    </row>
    <row r="323" spans="1:16" x14ac:dyDescent="0.15">
      <c r="A323" s="9" t="s">
        <v>522</v>
      </c>
      <c r="B323" s="9" t="str">
        <f>VLOOKUP(D323,[1]TASMaps!$H$4:$K$269,3,FALSE)</f>
        <v>TL08</v>
      </c>
      <c r="C323" s="9" t="str">
        <f>VLOOKUP(D323,[1]TASMaps!$H$4:$K$269,4,FALSE)</f>
        <v>Hummocky</v>
      </c>
      <c r="D323" s="9">
        <v>5238</v>
      </c>
      <c r="E323" s="9" t="s">
        <v>523</v>
      </c>
      <c r="F323" s="9" t="s">
        <v>30</v>
      </c>
      <c r="G323" s="9" t="s">
        <v>78</v>
      </c>
      <c r="H323" s="8" t="s">
        <v>20</v>
      </c>
      <c r="I323" s="10">
        <v>536850</v>
      </c>
      <c r="J323" s="10">
        <v>5388480</v>
      </c>
      <c r="K323" s="11">
        <v>-41.654580000000003</v>
      </c>
      <c r="L323" s="11">
        <v>147.44256999999999</v>
      </c>
      <c r="N323" s="8" t="s">
        <v>37</v>
      </c>
      <c r="P323" s="8">
        <v>1</v>
      </c>
    </row>
    <row r="324" spans="1:16" x14ac:dyDescent="0.15">
      <c r="A324" s="9" t="s">
        <v>524</v>
      </c>
      <c r="B324" s="9" t="str">
        <f>VLOOKUP(D324,[1]TASMaps!$H$4:$K$269,3,FALSE)</f>
        <v>TQ09</v>
      </c>
      <c r="C324" s="9" t="str">
        <f>VLOOKUP(D324,[1]TASMaps!$H$4:$K$269,4,FALSE)</f>
        <v>Frederick Henry</v>
      </c>
      <c r="D324" s="9">
        <v>5624</v>
      </c>
      <c r="E324" s="9" t="s">
        <v>525</v>
      </c>
      <c r="F324" s="9" t="s">
        <v>30</v>
      </c>
      <c r="G324" s="9" t="s">
        <v>83</v>
      </c>
      <c r="H324" s="8" t="s">
        <v>20</v>
      </c>
      <c r="I324" s="10">
        <v>569750</v>
      </c>
      <c r="J324" s="10">
        <v>5248770</v>
      </c>
      <c r="K324" s="11">
        <v>-42.910499999999999</v>
      </c>
      <c r="L324" s="11">
        <v>147.8545</v>
      </c>
      <c r="N324" s="8" t="s">
        <v>37</v>
      </c>
      <c r="P324" s="8">
        <v>1</v>
      </c>
    </row>
    <row r="325" spans="1:16" x14ac:dyDescent="0.15">
      <c r="A325" s="7" t="s">
        <v>526</v>
      </c>
      <c r="B325" s="9" t="str">
        <f>VLOOKUP(D325,[1]TASMaps!$H$4:$K$269,3,FALSE)</f>
        <v>TR09</v>
      </c>
      <c r="C325" s="9" t="str">
        <f>VLOOKUP(D325,[1]TASMaps!$H$4:$K$269,4,FALSE)</f>
        <v>Tasman Peninsula</v>
      </c>
      <c r="D325" s="9">
        <v>5721</v>
      </c>
      <c r="E325" s="9" t="s">
        <v>83</v>
      </c>
      <c r="F325" s="9" t="s">
        <v>30</v>
      </c>
      <c r="G325" s="9" t="s">
        <v>83</v>
      </c>
      <c r="H325" s="8" t="s">
        <v>20</v>
      </c>
      <c r="I325" s="10">
        <v>578670</v>
      </c>
      <c r="J325" s="10">
        <v>5219690</v>
      </c>
      <c r="K325" s="11">
        <v>-43.171460000000003</v>
      </c>
      <c r="L325" s="11">
        <v>147.96787</v>
      </c>
      <c r="N325" s="8" t="s">
        <v>37</v>
      </c>
      <c r="O325" s="8">
        <v>1</v>
      </c>
      <c r="P325" s="8">
        <v>2</v>
      </c>
    </row>
    <row r="326" spans="1:16" x14ac:dyDescent="0.15">
      <c r="A326" s="7" t="s">
        <v>527</v>
      </c>
      <c r="B326" s="9" t="str">
        <f>VLOOKUP(D326,[1]TASMaps!$H$4:$K$269,3,FALSE)</f>
        <v>TL06</v>
      </c>
      <c r="C326" s="9" t="str">
        <f>VLOOKUP(D326,[1]TASMaps!$H$4:$K$269,4,FALSE)</f>
        <v>Jerusalem</v>
      </c>
      <c r="D326" s="9">
        <v>4437</v>
      </c>
      <c r="E326" s="9" t="s">
        <v>448</v>
      </c>
      <c r="F326" s="9" t="s">
        <v>23</v>
      </c>
      <c r="G326" s="9" t="s">
        <v>36</v>
      </c>
      <c r="H326" s="8" t="s">
        <v>20</v>
      </c>
      <c r="I326" s="10">
        <v>452870</v>
      </c>
      <c r="J326" s="10">
        <v>5379940</v>
      </c>
      <c r="K326" s="11">
        <v>-41.73095</v>
      </c>
      <c r="L326" s="11">
        <v>146.4333</v>
      </c>
      <c r="N326" s="8" t="s">
        <v>37</v>
      </c>
      <c r="O326" s="8">
        <v>1</v>
      </c>
      <c r="P326" s="8">
        <v>1</v>
      </c>
    </row>
    <row r="327" spans="1:16" x14ac:dyDescent="0.15">
      <c r="A327" s="7" t="s">
        <v>528</v>
      </c>
      <c r="B327" s="9" t="str">
        <f>VLOOKUP(D327,[1]TASMaps!$H$4:$K$269,3,FALSE)</f>
        <v>TK06</v>
      </c>
      <c r="C327" s="9" t="str">
        <f>VLOOKUP(D327,[1]TASMaps!$H$4:$K$269,4,FALSE)</f>
        <v>Fossey Mountains</v>
      </c>
      <c r="D327" s="9">
        <v>4240</v>
      </c>
      <c r="E327" s="9" t="s">
        <v>141</v>
      </c>
      <c r="F327" s="9" t="s">
        <v>104</v>
      </c>
      <c r="G327" s="9" t="s">
        <v>142</v>
      </c>
      <c r="H327" s="8" t="s">
        <v>20</v>
      </c>
      <c r="I327" s="10">
        <v>434690</v>
      </c>
      <c r="J327" s="10">
        <v>5406390</v>
      </c>
      <c r="K327" s="11">
        <v>-41.49145</v>
      </c>
      <c r="L327" s="11">
        <v>146.2176</v>
      </c>
      <c r="N327" s="8" t="s">
        <v>37</v>
      </c>
      <c r="P327" s="8">
        <v>1</v>
      </c>
    </row>
    <row r="328" spans="1:16" x14ac:dyDescent="0.15">
      <c r="A328" s="7" t="s">
        <v>529</v>
      </c>
      <c r="B328" s="9" t="str">
        <f>VLOOKUP(D328,[1]TASMaps!$H$4:$K$269,3,FALSE)</f>
        <v>TL09</v>
      </c>
      <c r="C328" s="9" t="str">
        <f>VLOOKUP(D328,[1]TASMaps!$H$4:$K$269,4,FALSE)</f>
        <v>Avoca</v>
      </c>
      <c r="D328" s="9">
        <v>5637</v>
      </c>
      <c r="E328" s="9" t="s">
        <v>373</v>
      </c>
      <c r="F328" s="9" t="s">
        <v>30</v>
      </c>
      <c r="G328" s="9" t="s">
        <v>44</v>
      </c>
      <c r="H328" s="8" t="s">
        <v>20</v>
      </c>
      <c r="I328" s="10">
        <v>573770</v>
      </c>
      <c r="J328" s="10">
        <v>5379470</v>
      </c>
      <c r="K328" s="11">
        <v>-41.733159999999998</v>
      </c>
      <c r="L328" s="11">
        <v>147.88704999999999</v>
      </c>
      <c r="N328" s="8" t="s">
        <v>37</v>
      </c>
      <c r="O328" s="8">
        <v>1</v>
      </c>
      <c r="P328" s="8">
        <v>1</v>
      </c>
    </row>
    <row r="329" spans="1:16" x14ac:dyDescent="0.15">
      <c r="A329" s="9" t="s">
        <v>530</v>
      </c>
      <c r="B329" s="9" t="str">
        <f>VLOOKUP(D329,[1]TASMaps!$H$4:$K$269,3,FALSE)</f>
        <v>TR06</v>
      </c>
      <c r="C329" s="9" t="str">
        <f>VLOOKUP(D329,[1]TASMaps!$H$4:$K$269,4,FALSE)</f>
        <v>Western Arthur</v>
      </c>
      <c r="D329" s="9">
        <v>4421</v>
      </c>
      <c r="E329" s="9" t="s">
        <v>46</v>
      </c>
      <c r="F329" s="9" t="s">
        <v>23</v>
      </c>
      <c r="G329" s="9" t="s">
        <v>27</v>
      </c>
      <c r="H329" s="8" t="s">
        <v>20</v>
      </c>
      <c r="I329" s="10">
        <v>455389</v>
      </c>
      <c r="J329" s="10">
        <v>5210560</v>
      </c>
      <c r="K329" s="11">
        <v>-43.256450000000001</v>
      </c>
      <c r="L329" s="11">
        <v>146.45039</v>
      </c>
      <c r="N329" s="8" t="s">
        <v>37</v>
      </c>
      <c r="P329" s="8">
        <v>1</v>
      </c>
    </row>
    <row r="330" spans="1:16" x14ac:dyDescent="0.15">
      <c r="A330" s="7" t="s">
        <v>531</v>
      </c>
      <c r="B330" s="9" t="str">
        <f>VLOOKUP(D330,[1]TASMaps!$H$4:$K$269,3,FALSE)</f>
        <v>TR06</v>
      </c>
      <c r="C330" s="9" t="str">
        <f>VLOOKUP(D330,[1]TASMaps!$H$4:$K$269,4,FALSE)</f>
        <v>Western Arthur</v>
      </c>
      <c r="D330" s="9">
        <v>4421</v>
      </c>
      <c r="E330" s="9" t="s">
        <v>46</v>
      </c>
      <c r="F330" s="9" t="s">
        <v>23</v>
      </c>
      <c r="G330" s="9" t="s">
        <v>27</v>
      </c>
      <c r="H330" s="8" t="s">
        <v>20</v>
      </c>
      <c r="I330" s="10">
        <v>455310</v>
      </c>
      <c r="J330" s="10">
        <v>5210340</v>
      </c>
      <c r="K330" s="11">
        <v>-43.258420000000001</v>
      </c>
      <c r="L330" s="11">
        <v>146.4494</v>
      </c>
      <c r="N330" s="8" t="s">
        <v>37</v>
      </c>
      <c r="P330" s="8">
        <v>1</v>
      </c>
    </row>
    <row r="331" spans="1:16" x14ac:dyDescent="0.15">
      <c r="A331" s="7" t="s">
        <v>532</v>
      </c>
      <c r="B331" s="9" t="str">
        <f>VLOOKUP(D331,[1]TASMaps!$H$4:$K$269,3,FALSE)</f>
        <v>TR06</v>
      </c>
      <c r="C331" s="9" t="str">
        <f>VLOOKUP(D331,[1]TASMaps!$H$4:$K$269,4,FALSE)</f>
        <v>Western Arthur</v>
      </c>
      <c r="D331" s="9">
        <v>4421</v>
      </c>
      <c r="E331" s="9" t="s">
        <v>46</v>
      </c>
      <c r="F331" s="9" t="s">
        <v>23</v>
      </c>
      <c r="G331" s="9" t="s">
        <v>27</v>
      </c>
      <c r="H331" s="8" t="s">
        <v>20</v>
      </c>
      <c r="I331" s="10">
        <v>455500</v>
      </c>
      <c r="J331" s="10">
        <v>5210220</v>
      </c>
      <c r="K331" s="11">
        <v>-43.259509999999999</v>
      </c>
      <c r="L331" s="11">
        <v>146.45173</v>
      </c>
      <c r="N331" s="8" t="s">
        <v>37</v>
      </c>
      <c r="O331" s="8">
        <v>2</v>
      </c>
      <c r="P331" s="8">
        <v>2</v>
      </c>
    </row>
    <row r="332" spans="1:16" x14ac:dyDescent="0.15">
      <c r="A332" s="7" t="s">
        <v>533</v>
      </c>
      <c r="B332" s="9" t="str">
        <f>VLOOKUP(D332,[1]TASMaps!$H$4:$K$269,3,FALSE)</f>
        <v>TR06</v>
      </c>
      <c r="C332" s="9" t="str">
        <f>VLOOKUP(D332,[1]TASMaps!$H$4:$K$269,4,FALSE)</f>
        <v>Western Arthur</v>
      </c>
      <c r="D332" s="9">
        <v>4421</v>
      </c>
      <c r="E332" s="9" t="s">
        <v>46</v>
      </c>
      <c r="F332" s="9" t="s">
        <v>23</v>
      </c>
      <c r="G332" s="9" t="s">
        <v>27</v>
      </c>
      <c r="H332" s="8" t="s">
        <v>20</v>
      </c>
      <c r="I332" s="10">
        <v>455600</v>
      </c>
      <c r="J332" s="10">
        <v>5210170</v>
      </c>
      <c r="K332" s="11">
        <v>-43.259970000000003</v>
      </c>
      <c r="L332" s="11">
        <v>146.45295999999999</v>
      </c>
      <c r="N332" s="8" t="s">
        <v>37</v>
      </c>
      <c r="P332" s="8">
        <v>1</v>
      </c>
    </row>
    <row r="333" spans="1:16" x14ac:dyDescent="0.15">
      <c r="A333" s="9" t="s">
        <v>534</v>
      </c>
      <c r="B333" s="9" t="str">
        <f>VLOOKUP(D333,[1]TASMaps!$H$4:$K$269,3,FALSE)</f>
        <v>TQ06</v>
      </c>
      <c r="C333" s="9" t="str">
        <f>VLOOKUP(D333,[1]TASMaps!$H$4:$K$269,4,FALSE)</f>
        <v>Lake Pedder</v>
      </c>
      <c r="D333" s="9">
        <v>4424</v>
      </c>
      <c r="E333" s="9" t="s">
        <v>69</v>
      </c>
      <c r="F333" s="9" t="s">
        <v>30</v>
      </c>
      <c r="G333" s="9" t="s">
        <v>19</v>
      </c>
      <c r="H333" s="8" t="s">
        <v>20</v>
      </c>
      <c r="I333" s="10">
        <v>453530</v>
      </c>
      <c r="J333" s="10">
        <v>5244165</v>
      </c>
      <c r="K333" s="11">
        <v>-42.953740000000003</v>
      </c>
      <c r="L333" s="11">
        <v>146.43029999999999</v>
      </c>
      <c r="N333" s="8" t="s">
        <v>37</v>
      </c>
      <c r="P333" s="8">
        <v>1</v>
      </c>
    </row>
    <row r="334" spans="1:16" x14ac:dyDescent="0.15">
      <c r="A334" s="7" t="s">
        <v>535</v>
      </c>
      <c r="B334" s="9" t="str">
        <f>VLOOKUP(D334,[1]TASMaps!$H$4:$K$269,3,FALSE)</f>
        <v>TQ06</v>
      </c>
      <c r="C334" s="9" t="str">
        <f>VLOOKUP(D334,[1]TASMaps!$H$4:$K$269,4,FALSE)</f>
        <v>Lake Pedder</v>
      </c>
      <c r="D334" s="9">
        <v>4224</v>
      </c>
      <c r="E334" s="9" t="s">
        <v>300</v>
      </c>
      <c r="F334" s="9" t="s">
        <v>23</v>
      </c>
      <c r="G334" s="9" t="s">
        <v>19</v>
      </c>
      <c r="H334" s="8" t="s">
        <v>20</v>
      </c>
      <c r="I334" s="10">
        <v>430470</v>
      </c>
      <c r="J334" s="10">
        <v>5240260</v>
      </c>
      <c r="K334" s="11">
        <v>-42.987139999999997</v>
      </c>
      <c r="L334" s="11">
        <v>146.14714000000001</v>
      </c>
      <c r="N334" s="8">
        <v>3</v>
      </c>
      <c r="O334" s="8">
        <v>3</v>
      </c>
      <c r="P334" s="8">
        <v>4</v>
      </c>
    </row>
    <row r="335" spans="1:16" x14ac:dyDescent="0.15">
      <c r="A335" s="7" t="s">
        <v>536</v>
      </c>
      <c r="B335" s="9" t="str">
        <f>VLOOKUP(D335,[1]TASMaps!$H$4:$K$269,3,FALSE)</f>
        <v>TJ03</v>
      </c>
      <c r="C335" s="9" t="str">
        <f>VLOOKUP(D335,[1]TASMaps!$H$4:$K$269,4,FALSE)</f>
        <v>Rebecca</v>
      </c>
      <c r="D335" s="9">
        <v>3242</v>
      </c>
      <c r="E335" s="9" t="s">
        <v>106</v>
      </c>
      <c r="F335" s="9" t="s">
        <v>30</v>
      </c>
      <c r="G335" s="9" t="s">
        <v>107</v>
      </c>
      <c r="H335" s="8" t="s">
        <v>20</v>
      </c>
      <c r="I335" s="10">
        <v>326700</v>
      </c>
      <c r="J335" s="10">
        <v>5427240</v>
      </c>
      <c r="K335" s="11">
        <v>-41.287669999999999</v>
      </c>
      <c r="L335" s="11">
        <v>144.93043</v>
      </c>
      <c r="N335" s="8" t="s">
        <v>37</v>
      </c>
      <c r="P335" s="8">
        <v>1</v>
      </c>
    </row>
    <row r="336" spans="1:16" x14ac:dyDescent="0.15">
      <c r="A336" s="9" t="s">
        <v>537</v>
      </c>
      <c r="B336" s="9" t="str">
        <f>VLOOKUP(D336,[1]TASMaps!$H$4:$K$269,3,FALSE)</f>
        <v>TN05</v>
      </c>
      <c r="C336" s="9" t="str">
        <f>VLOOKUP(D336,[1]TASMaps!$H$4:$K$269,4,FALSE)</f>
        <v>Frenchmans</v>
      </c>
      <c r="D336" s="9">
        <v>4032</v>
      </c>
      <c r="E336" s="9" t="s">
        <v>56</v>
      </c>
      <c r="F336" s="9" t="s">
        <v>18</v>
      </c>
      <c r="G336" s="9" t="s">
        <v>24</v>
      </c>
      <c r="H336" s="8" t="s">
        <v>20</v>
      </c>
      <c r="I336" s="10">
        <v>415030</v>
      </c>
      <c r="J336" s="10">
        <v>5323460</v>
      </c>
      <c r="K336" s="11">
        <v>-42.236420000000003</v>
      </c>
      <c r="L336" s="11">
        <v>145.97020000000001</v>
      </c>
      <c r="N336" s="8" t="s">
        <v>37</v>
      </c>
      <c r="P336" s="8">
        <v>1</v>
      </c>
    </row>
    <row r="337" spans="1:16" x14ac:dyDescent="0.15">
      <c r="A337" s="7" t="s">
        <v>538</v>
      </c>
      <c r="B337" s="9" t="str">
        <f>VLOOKUP(D337,[1]TASMaps!$H$4:$K$269,3,FALSE)</f>
        <v>TM08</v>
      </c>
      <c r="C337" s="9" t="str">
        <f>VLOOKUP(D337,[1]TASMaps!$H$4:$K$269,4,FALSE)</f>
        <v>Dogs Head Tier</v>
      </c>
      <c r="D337" s="9">
        <v>5034</v>
      </c>
      <c r="E337" s="9" t="s">
        <v>378</v>
      </c>
      <c r="F337" s="9" t="s">
        <v>30</v>
      </c>
      <c r="G337" s="9" t="s">
        <v>36</v>
      </c>
      <c r="H337" s="8" t="s">
        <v>20</v>
      </c>
      <c r="I337" s="10">
        <v>519270</v>
      </c>
      <c r="J337" s="10">
        <v>5341720</v>
      </c>
      <c r="K337" s="11">
        <v>-42.076349999999998</v>
      </c>
      <c r="L337" s="11">
        <v>147.23295999999999</v>
      </c>
      <c r="N337" s="8" t="s">
        <v>37</v>
      </c>
      <c r="P337" s="8">
        <v>1</v>
      </c>
    </row>
    <row r="338" spans="1:16" x14ac:dyDescent="0.15">
      <c r="A338" s="7" t="s">
        <v>539</v>
      </c>
      <c r="B338" s="9" t="str">
        <f>VLOOKUP(D338,[1]TASMaps!$H$4:$K$269,3,FALSE)</f>
        <v>TR07</v>
      </c>
      <c r="C338" s="9" t="str">
        <f>VLOOKUP(D338,[1]TASMaps!$H$4:$K$269,4,FALSE)</f>
        <v>Hartz</v>
      </c>
      <c r="D338" s="9">
        <v>4623</v>
      </c>
      <c r="E338" s="9" t="s">
        <v>540</v>
      </c>
      <c r="F338" s="9" t="s">
        <v>30</v>
      </c>
      <c r="G338" s="9" t="s">
        <v>27</v>
      </c>
      <c r="H338" s="8" t="s">
        <v>20</v>
      </c>
      <c r="I338" s="10">
        <v>471960</v>
      </c>
      <c r="J338" s="10">
        <v>5233380</v>
      </c>
      <c r="K338" s="11">
        <v>-43.051760000000002</v>
      </c>
      <c r="L338" s="11">
        <v>146.6557</v>
      </c>
      <c r="N338" s="8" t="s">
        <v>37</v>
      </c>
      <c r="O338" s="8">
        <v>1</v>
      </c>
      <c r="P338" s="8">
        <v>2</v>
      </c>
    </row>
    <row r="339" spans="1:16" x14ac:dyDescent="0.15">
      <c r="A339" s="14" t="s">
        <v>541</v>
      </c>
      <c r="B339" s="9" t="str">
        <f>VLOOKUP(D339,[1]TASMaps!$H$4:$K$269,3,FALSE)</f>
        <v>TP07</v>
      </c>
      <c r="C339" s="9" t="str">
        <f>VLOOKUP(D339,[1]TASMaps!$H$4:$K$269,4,FALSE)</f>
        <v>Meadowbank</v>
      </c>
      <c r="D339" s="9">
        <v>4628</v>
      </c>
      <c r="E339" s="9" t="s">
        <v>240</v>
      </c>
      <c r="F339" s="9" t="s">
        <v>18</v>
      </c>
      <c r="G339" s="9" t="s">
        <v>36</v>
      </c>
      <c r="H339" s="8" t="s">
        <v>20</v>
      </c>
      <c r="I339" s="10">
        <v>464730</v>
      </c>
      <c r="J339" s="10">
        <v>5280220</v>
      </c>
      <c r="K339" s="11">
        <v>-42.629660000000001</v>
      </c>
      <c r="L339" s="11">
        <v>146.56986000000001</v>
      </c>
      <c r="N339" s="8" t="s">
        <v>37</v>
      </c>
      <c r="P339" s="8">
        <v>2</v>
      </c>
    </row>
    <row r="340" spans="1:16" x14ac:dyDescent="0.15">
      <c r="A340" s="7" t="s">
        <v>542</v>
      </c>
      <c r="B340" s="9" t="str">
        <f>VLOOKUP(D340,[1]TASMaps!$H$4:$K$269,3,FALSE)</f>
        <v>TN05</v>
      </c>
      <c r="C340" s="9" t="str">
        <f>VLOOKUP(D340,[1]TASMaps!$H$4:$K$269,4,FALSE)</f>
        <v>Frenchmans</v>
      </c>
      <c r="D340" s="9">
        <v>4031</v>
      </c>
      <c r="E340" s="9" t="s">
        <v>337</v>
      </c>
      <c r="F340" s="9" t="s">
        <v>30</v>
      </c>
      <c r="G340" s="9" t="s">
        <v>24</v>
      </c>
      <c r="H340" s="8" t="s">
        <v>20</v>
      </c>
      <c r="I340" s="10">
        <v>403540</v>
      </c>
      <c r="J340" s="10">
        <v>5319610</v>
      </c>
      <c r="K340" s="11">
        <v>-42.269750000000002</v>
      </c>
      <c r="L340" s="11">
        <v>145.83033</v>
      </c>
      <c r="M340" s="8" t="s">
        <v>21</v>
      </c>
      <c r="N340" s="8">
        <v>7</v>
      </c>
      <c r="O340" s="8">
        <v>7</v>
      </c>
      <c r="P340" s="8">
        <v>7</v>
      </c>
    </row>
    <row r="341" spans="1:16" x14ac:dyDescent="0.15">
      <c r="A341" s="7" t="s">
        <v>543</v>
      </c>
      <c r="B341" s="9" t="str">
        <f>VLOOKUP(D341,[1]TASMaps!$H$4:$K$269,3,FALSE)</f>
        <v>TN10</v>
      </c>
      <c r="C341" s="9" t="str">
        <f>VLOOKUP(D341,[1]TASMaps!$H$4:$K$269,4,FALSE)</f>
        <v>Great Oyster</v>
      </c>
      <c r="D341" s="9">
        <v>6032</v>
      </c>
      <c r="E341" s="9" t="s">
        <v>544</v>
      </c>
      <c r="F341" s="9" t="s">
        <v>30</v>
      </c>
      <c r="G341" s="9" t="s">
        <v>62</v>
      </c>
      <c r="H341" s="8" t="s">
        <v>20</v>
      </c>
      <c r="I341" s="10">
        <v>607610</v>
      </c>
      <c r="J341" s="10">
        <v>5325340</v>
      </c>
      <c r="K341" s="11">
        <v>-42.216700000000003</v>
      </c>
      <c r="L341" s="11">
        <v>148.30377999999999</v>
      </c>
      <c r="N341" s="8" t="s">
        <v>37</v>
      </c>
      <c r="O341" s="8">
        <v>1</v>
      </c>
      <c r="P341" s="8">
        <v>2</v>
      </c>
    </row>
    <row r="342" spans="1:16" x14ac:dyDescent="0.15">
      <c r="A342" s="7" t="s">
        <v>545</v>
      </c>
      <c r="B342" s="9" t="str">
        <f>VLOOKUP(D342,[1]TASMaps!$H$4:$K$269,3,FALSE)</f>
        <v>TM08</v>
      </c>
      <c r="C342" s="9" t="str">
        <f>VLOOKUP(D342,[1]TASMaps!$H$4:$K$269,4,FALSE)</f>
        <v>Dogs Head Tier</v>
      </c>
      <c r="D342" s="9">
        <v>5034</v>
      </c>
      <c r="E342" s="9" t="s">
        <v>378</v>
      </c>
      <c r="F342" s="9" t="s">
        <v>18</v>
      </c>
      <c r="G342" s="9" t="s">
        <v>36</v>
      </c>
      <c r="H342" s="8" t="s">
        <v>20</v>
      </c>
      <c r="I342" s="10">
        <v>502400</v>
      </c>
      <c r="J342" s="10">
        <v>5344350</v>
      </c>
      <c r="K342" s="11">
        <v>-42.052900000000001</v>
      </c>
      <c r="L342" s="11">
        <v>147.029</v>
      </c>
      <c r="N342" s="8" t="s">
        <v>37</v>
      </c>
      <c r="P342" s="8">
        <v>1</v>
      </c>
    </row>
    <row r="343" spans="1:16" x14ac:dyDescent="0.15">
      <c r="A343" s="9" t="s">
        <v>546</v>
      </c>
      <c r="B343" s="9" t="str">
        <f>VLOOKUP(D343,[1]TASMaps!$H$4:$K$269,3,FALSE)</f>
        <v>TS06</v>
      </c>
      <c r="C343" s="9" t="str">
        <f>VLOOKUP(D343,[1]TASMaps!$H$4:$K$269,4,FALSE)</f>
        <v>Bathurst</v>
      </c>
      <c r="D343" s="9">
        <v>4219</v>
      </c>
      <c r="E343" s="9" t="s">
        <v>400</v>
      </c>
      <c r="F343" s="9" t="s">
        <v>30</v>
      </c>
      <c r="G343" s="9" t="s">
        <v>27</v>
      </c>
      <c r="H343" s="8" t="s">
        <v>20</v>
      </c>
      <c r="I343" s="10">
        <v>435060</v>
      </c>
      <c r="J343" s="10">
        <v>5196950</v>
      </c>
      <c r="K343" s="11">
        <v>-43.377510000000001</v>
      </c>
      <c r="L343" s="11">
        <v>146.19835</v>
      </c>
      <c r="N343" s="8" t="s">
        <v>37</v>
      </c>
      <c r="P343" s="8">
        <v>1</v>
      </c>
    </row>
    <row r="344" spans="1:16" x14ac:dyDescent="0.15">
      <c r="A344" s="7" t="s">
        <v>547</v>
      </c>
      <c r="B344" s="9" t="str">
        <f>VLOOKUP(D344,[1]TASMaps!$H$4:$K$269,3,FALSE)</f>
        <v>TL05</v>
      </c>
      <c r="C344" s="9" t="str">
        <f>VLOOKUP(D344,[1]TASMaps!$H$4:$K$269,4,FALSE)</f>
        <v>Murchison</v>
      </c>
      <c r="D344" s="9">
        <v>4038</v>
      </c>
      <c r="E344" s="9" t="s">
        <v>90</v>
      </c>
      <c r="F344" s="9" t="s">
        <v>30</v>
      </c>
      <c r="G344" s="9" t="s">
        <v>24</v>
      </c>
      <c r="H344" s="8" t="s">
        <v>20</v>
      </c>
      <c r="I344" s="10">
        <v>408640</v>
      </c>
      <c r="J344" s="10">
        <v>5383610</v>
      </c>
      <c r="K344" s="11">
        <v>-41.694049999999997</v>
      </c>
      <c r="L344" s="11">
        <v>145.90209999999999</v>
      </c>
      <c r="N344" s="8" t="s">
        <v>37</v>
      </c>
      <c r="P344" s="8">
        <v>1</v>
      </c>
    </row>
    <row r="345" spans="1:16" x14ac:dyDescent="0.15">
      <c r="A345" s="7" t="s">
        <v>548</v>
      </c>
      <c r="B345" s="9" t="str">
        <f>VLOOKUP(D345,[1]TASMaps!$H$4:$K$269,3,FALSE)</f>
        <v>TR06</v>
      </c>
      <c r="C345" s="9" t="str">
        <f>VLOOKUP(D345,[1]TASMaps!$H$4:$K$269,4,FALSE)</f>
        <v>Western Arthur</v>
      </c>
      <c r="D345" s="9">
        <v>4421</v>
      </c>
      <c r="E345" s="9" t="s">
        <v>46</v>
      </c>
      <c r="F345" s="9" t="s">
        <v>30</v>
      </c>
      <c r="G345" s="9" t="s">
        <v>27</v>
      </c>
      <c r="H345" s="8" t="s">
        <v>20</v>
      </c>
      <c r="I345" s="10">
        <v>455850</v>
      </c>
      <c r="J345" s="10">
        <v>5211380</v>
      </c>
      <c r="K345" s="11">
        <v>-43.249090000000002</v>
      </c>
      <c r="L345" s="11">
        <v>146.45614</v>
      </c>
      <c r="N345" s="8">
        <v>2</v>
      </c>
      <c r="O345" s="8">
        <v>2</v>
      </c>
      <c r="P345" s="8">
        <v>2</v>
      </c>
    </row>
    <row r="346" spans="1:16" x14ac:dyDescent="0.15">
      <c r="A346" s="9" t="s">
        <v>549</v>
      </c>
      <c r="B346" s="9" t="str">
        <f>VLOOKUP(D346,[1]TASMaps!$H$4:$K$269,3,FALSE)</f>
        <v>TS05</v>
      </c>
      <c r="C346" s="9" t="str">
        <f>VLOOKUP(D346,[1]TASMaps!$H$4:$K$269,4,FALSE)</f>
        <v>Port Davey</v>
      </c>
      <c r="D346" s="9">
        <v>4023</v>
      </c>
      <c r="E346" s="9" t="s">
        <v>550</v>
      </c>
      <c r="F346" s="9" t="s">
        <v>30</v>
      </c>
      <c r="G346" s="9" t="s">
        <v>24</v>
      </c>
      <c r="H346" s="8" t="s">
        <v>20</v>
      </c>
      <c r="I346" s="10">
        <v>401470</v>
      </c>
      <c r="J346" s="10">
        <v>5230700</v>
      </c>
      <c r="K346" s="11">
        <v>-43.070010000000003</v>
      </c>
      <c r="L346" s="11">
        <v>145.78980000000001</v>
      </c>
      <c r="N346" s="8" t="s">
        <v>37</v>
      </c>
      <c r="P346" s="8">
        <v>1</v>
      </c>
    </row>
    <row r="347" spans="1:16" x14ac:dyDescent="0.15">
      <c r="A347" s="9" t="s">
        <v>551</v>
      </c>
      <c r="B347" s="9" t="str">
        <f>VLOOKUP(D347,[1]TASMaps!$H$4:$K$269,3,FALSE)</f>
        <v>TL04</v>
      </c>
      <c r="C347" s="9" t="str">
        <f>VLOOKUP(D347,[1]TASMaps!$H$4:$K$269,4,FALSE)</f>
        <v>Lake Pieman</v>
      </c>
      <c r="D347" s="9">
        <v>3436</v>
      </c>
      <c r="E347" s="9" t="s">
        <v>41</v>
      </c>
      <c r="F347" s="9" t="s">
        <v>23</v>
      </c>
      <c r="G347" s="9" t="s">
        <v>24</v>
      </c>
      <c r="H347" s="8" t="s">
        <v>20</v>
      </c>
      <c r="I347" s="10">
        <v>345730</v>
      </c>
      <c r="J347" s="10">
        <v>5363830</v>
      </c>
      <c r="K347" s="11">
        <v>-41.862400000000001</v>
      </c>
      <c r="L347" s="11">
        <v>145.14126999999999</v>
      </c>
      <c r="N347" s="8" t="s">
        <v>37</v>
      </c>
      <c r="P347" s="8">
        <v>1</v>
      </c>
    </row>
    <row r="348" spans="1:16" x14ac:dyDescent="0.15">
      <c r="A348" s="7" t="s">
        <v>552</v>
      </c>
      <c r="B348" s="9" t="str">
        <f>VLOOKUP(D348,[1]TASMaps!$H$4:$K$269,3,FALSE)</f>
        <v>TM06</v>
      </c>
      <c r="C348" s="9" t="str">
        <f>VLOOKUP(D348,[1]TASMaps!$H$4:$K$269,4,FALSE)</f>
        <v>St Clair</v>
      </c>
      <c r="D348" s="9">
        <v>4235</v>
      </c>
      <c r="E348" s="9" t="s">
        <v>32</v>
      </c>
      <c r="F348" s="9" t="s">
        <v>18</v>
      </c>
      <c r="G348" s="9" t="s">
        <v>33</v>
      </c>
      <c r="H348" s="8" t="s">
        <v>20</v>
      </c>
      <c r="I348" s="10">
        <v>425720</v>
      </c>
      <c r="J348" s="10">
        <v>5357170</v>
      </c>
      <c r="K348" s="11">
        <v>-41.93394</v>
      </c>
      <c r="L348" s="11">
        <v>146.10401999999999</v>
      </c>
      <c r="N348" s="8" t="s">
        <v>37</v>
      </c>
      <c r="P348" s="8">
        <v>1</v>
      </c>
    </row>
    <row r="349" spans="1:16" x14ac:dyDescent="0.15">
      <c r="A349" s="7" t="s">
        <v>553</v>
      </c>
      <c r="B349" s="9" t="str">
        <f>VLOOKUP(D349,[1]TASMaps!$H$4:$K$269,3,FALSE)</f>
        <v>TS06</v>
      </c>
      <c r="C349" s="9" t="str">
        <f>VLOOKUP(D349,[1]TASMaps!$H$4:$K$269,4,FALSE)</f>
        <v>Bathurst</v>
      </c>
      <c r="D349" s="9">
        <v>4420</v>
      </c>
      <c r="E349" s="9" t="s">
        <v>293</v>
      </c>
      <c r="F349" s="9" t="s">
        <v>30</v>
      </c>
      <c r="G349" s="9" t="s">
        <v>27</v>
      </c>
      <c r="H349" s="8" t="s">
        <v>20</v>
      </c>
      <c r="I349" s="10">
        <v>456550</v>
      </c>
      <c r="J349" s="10">
        <v>5207970</v>
      </c>
      <c r="K349" s="11">
        <v>-43.27984</v>
      </c>
      <c r="L349" s="11">
        <v>146.46449000000001</v>
      </c>
      <c r="N349" s="8" t="s">
        <v>37</v>
      </c>
      <c r="O349" s="8">
        <v>2</v>
      </c>
      <c r="P349" s="8">
        <v>3</v>
      </c>
    </row>
    <row r="350" spans="1:16" x14ac:dyDescent="0.15">
      <c r="A350" s="7" t="s">
        <v>554</v>
      </c>
      <c r="B350" s="9" t="str">
        <f>VLOOKUP(D350,[1]TASMaps!$H$4:$K$269,3,FALSE)</f>
        <v>TM05</v>
      </c>
      <c r="C350" s="9" t="str">
        <f>VLOOKUP(D350,[1]TASMaps!$H$4:$K$269,4,FALSE)</f>
        <v>Eldon</v>
      </c>
      <c r="D350" s="9">
        <v>3835</v>
      </c>
      <c r="E350" s="9" t="s">
        <v>126</v>
      </c>
      <c r="F350" s="9" t="s">
        <v>30</v>
      </c>
      <c r="G350" s="9" t="s">
        <v>24</v>
      </c>
      <c r="H350" s="8" t="s">
        <v>20</v>
      </c>
      <c r="I350" s="10">
        <v>382350</v>
      </c>
      <c r="J350" s="10">
        <v>5352530</v>
      </c>
      <c r="K350" s="11">
        <v>-41.970440000000004</v>
      </c>
      <c r="L350" s="11">
        <v>145.58008000000001</v>
      </c>
      <c r="M350" s="8" t="s">
        <v>21</v>
      </c>
      <c r="N350" s="8" t="s">
        <v>37</v>
      </c>
      <c r="O350" s="8">
        <v>2</v>
      </c>
      <c r="P350" s="8">
        <v>2</v>
      </c>
    </row>
    <row r="351" spans="1:16" x14ac:dyDescent="0.15">
      <c r="A351" s="7" t="s">
        <v>555</v>
      </c>
      <c r="B351" s="9" t="str">
        <f>VLOOKUP(D351,[1]TASMaps!$H$4:$K$269,3,FALSE)</f>
        <v>TM05</v>
      </c>
      <c r="C351" s="9" t="str">
        <f>VLOOKUP(D351,[1]TASMaps!$H$4:$K$269,4,FALSE)</f>
        <v>Eldon</v>
      </c>
      <c r="D351" s="9">
        <v>4033</v>
      </c>
      <c r="E351" s="9" t="s">
        <v>311</v>
      </c>
      <c r="F351" s="9" t="s">
        <v>30</v>
      </c>
      <c r="G351" s="9" t="s">
        <v>24</v>
      </c>
      <c r="H351" s="8" t="s">
        <v>20</v>
      </c>
      <c r="I351" s="10">
        <v>419460</v>
      </c>
      <c r="J351" s="10">
        <v>5332770</v>
      </c>
      <c r="K351" s="11">
        <v>-42.153060000000004</v>
      </c>
      <c r="L351" s="11">
        <v>146.02517</v>
      </c>
      <c r="M351" s="8" t="s">
        <v>21</v>
      </c>
      <c r="N351" s="8">
        <v>4</v>
      </c>
      <c r="O351" s="8">
        <v>4</v>
      </c>
      <c r="P351" s="8">
        <v>4</v>
      </c>
    </row>
    <row r="352" spans="1:16" x14ac:dyDescent="0.15">
      <c r="A352" s="7" t="s">
        <v>556</v>
      </c>
      <c r="B352" s="9" t="str">
        <f>VLOOKUP(D352,[1]TASMaps!$H$4:$K$269,3,FALSE)</f>
        <v>TM06</v>
      </c>
      <c r="C352" s="9" t="str">
        <f>VLOOKUP(D352,[1]TASMaps!$H$4:$K$269,4,FALSE)</f>
        <v>St Clair</v>
      </c>
      <c r="D352" s="9">
        <v>4235</v>
      </c>
      <c r="E352" s="9" t="s">
        <v>32</v>
      </c>
      <c r="F352" s="9" t="s">
        <v>30</v>
      </c>
      <c r="G352" s="9" t="s">
        <v>33</v>
      </c>
      <c r="H352" s="8" t="s">
        <v>20</v>
      </c>
      <c r="I352" s="10">
        <v>421625</v>
      </c>
      <c r="J352" s="10">
        <v>5357795</v>
      </c>
      <c r="K352" s="11">
        <v>-41.92792</v>
      </c>
      <c r="L352" s="11">
        <v>146.05471</v>
      </c>
      <c r="N352" s="8">
        <v>5</v>
      </c>
      <c r="O352" s="8">
        <v>5</v>
      </c>
      <c r="P352" s="8">
        <v>5</v>
      </c>
    </row>
    <row r="353" spans="1:16" x14ac:dyDescent="0.15">
      <c r="A353" s="9" t="s">
        <v>557</v>
      </c>
      <c r="B353" s="9" t="str">
        <f>VLOOKUP(D353,[1]TASMaps!$H$4:$K$269,3,FALSE)</f>
        <v>TM06</v>
      </c>
      <c r="C353" s="9" t="str">
        <f>VLOOKUP(D353,[1]TASMaps!$H$4:$K$269,4,FALSE)</f>
        <v>St Clair</v>
      </c>
      <c r="D353" s="9">
        <v>4235</v>
      </c>
      <c r="E353" s="9" t="s">
        <v>32</v>
      </c>
      <c r="F353" s="9" t="s">
        <v>558</v>
      </c>
      <c r="G353" s="9" t="s">
        <v>33</v>
      </c>
      <c r="H353" s="8" t="s">
        <v>20</v>
      </c>
      <c r="I353" s="10">
        <v>421650</v>
      </c>
      <c r="J353" s="10">
        <v>5357450</v>
      </c>
      <c r="K353" s="11">
        <v>-41.93103</v>
      </c>
      <c r="L353" s="11">
        <v>146.05497</v>
      </c>
      <c r="N353" s="8" t="s">
        <v>37</v>
      </c>
      <c r="P353" s="8">
        <v>2</v>
      </c>
    </row>
    <row r="354" spans="1:16" x14ac:dyDescent="0.15">
      <c r="A354" s="7" t="s">
        <v>559</v>
      </c>
      <c r="B354" s="9" t="str">
        <f>VLOOKUP(D354,[1]TASMaps!$H$4:$K$269,3,FALSE)</f>
        <v>TM06</v>
      </c>
      <c r="C354" s="9" t="str">
        <f>VLOOKUP(D354,[1]TASMaps!$H$4:$K$269,4,FALSE)</f>
        <v>St Clair</v>
      </c>
      <c r="D354" s="9">
        <v>4235</v>
      </c>
      <c r="E354" s="9" t="s">
        <v>32</v>
      </c>
      <c r="F354" s="9" t="s">
        <v>30</v>
      </c>
      <c r="G354" s="9" t="s">
        <v>33</v>
      </c>
      <c r="H354" s="8" t="s">
        <v>20</v>
      </c>
      <c r="I354" s="10">
        <v>421625</v>
      </c>
      <c r="J354" s="10">
        <v>5357630</v>
      </c>
      <c r="K354" s="11">
        <v>-41.929400000000001</v>
      </c>
      <c r="L354" s="11">
        <v>146.05468999999999</v>
      </c>
      <c r="N354" s="8">
        <v>8</v>
      </c>
      <c r="O354" s="8">
        <v>8</v>
      </c>
      <c r="P354" s="8">
        <v>8</v>
      </c>
    </row>
    <row r="355" spans="1:16" x14ac:dyDescent="0.15">
      <c r="A355" s="7" t="s">
        <v>560</v>
      </c>
      <c r="B355" s="9" t="str">
        <f>VLOOKUP(D355,[1]TASMaps!$H$4:$K$269,3,FALSE)</f>
        <v>TN06</v>
      </c>
      <c r="C355" s="9" t="str">
        <f>VLOOKUP(D355,[1]TASMaps!$H$4:$K$269,4,FALSE)</f>
        <v>King William</v>
      </c>
      <c r="D355" s="9">
        <v>4431</v>
      </c>
      <c r="E355" s="9" t="s">
        <v>561</v>
      </c>
      <c r="F355" s="9" t="s">
        <v>30</v>
      </c>
      <c r="G355" s="9" t="s">
        <v>36</v>
      </c>
      <c r="H355" s="8" t="s">
        <v>20</v>
      </c>
      <c r="I355" s="10">
        <v>441320</v>
      </c>
      <c r="J355" s="10">
        <v>5313610</v>
      </c>
      <c r="K355" s="11">
        <v>-42.327550000000002</v>
      </c>
      <c r="L355" s="11">
        <v>146.28779</v>
      </c>
      <c r="N355" s="8" t="s">
        <v>37</v>
      </c>
      <c r="P355" s="8">
        <v>2</v>
      </c>
    </row>
    <row r="356" spans="1:16" x14ac:dyDescent="0.15">
      <c r="A356" s="7" t="s">
        <v>562</v>
      </c>
      <c r="B356" s="9" t="str">
        <f>VLOOKUP(D356,[1]TASMaps!$H$4:$K$269,3,FALSE)</f>
        <v>TK09</v>
      </c>
      <c r="C356" s="9" t="str">
        <f>VLOOKUP(D356,[1]TASMaps!$H$4:$K$269,4,FALSE)</f>
        <v>Ben Lomond</v>
      </c>
      <c r="D356" s="9">
        <v>5440</v>
      </c>
      <c r="E356" s="9" t="s">
        <v>320</v>
      </c>
      <c r="F356" s="9" t="s">
        <v>23</v>
      </c>
      <c r="G356" s="9" t="s">
        <v>78</v>
      </c>
      <c r="H356" s="8" t="s">
        <v>20</v>
      </c>
      <c r="I356" s="10">
        <v>554770</v>
      </c>
      <c r="J356" s="10">
        <v>5401580</v>
      </c>
      <c r="K356" s="11">
        <v>-41.535559999999997</v>
      </c>
      <c r="L356" s="11">
        <v>147.65657999999999</v>
      </c>
      <c r="N356" s="8" t="s">
        <v>37</v>
      </c>
      <c r="P356" s="8">
        <v>1</v>
      </c>
    </row>
    <row r="357" spans="1:16" x14ac:dyDescent="0.15">
      <c r="A357" s="7" t="s">
        <v>563</v>
      </c>
      <c r="B357" s="9" t="str">
        <f>VLOOKUP(D357,[1]TASMaps!$H$4:$K$269,3,FALSE)</f>
        <v>TR06</v>
      </c>
      <c r="C357" s="9" t="str">
        <f>VLOOKUP(D357,[1]TASMaps!$H$4:$K$269,4,FALSE)</f>
        <v>Western Arthur</v>
      </c>
      <c r="D357" s="9">
        <v>4223</v>
      </c>
      <c r="E357" s="9" t="s">
        <v>318</v>
      </c>
      <c r="F357" s="9" t="s">
        <v>30</v>
      </c>
      <c r="G357" s="9" t="s">
        <v>19</v>
      </c>
      <c r="H357" s="8" t="s">
        <v>20</v>
      </c>
      <c r="I357" s="10">
        <v>432000</v>
      </c>
      <c r="J357" s="10">
        <v>5237960</v>
      </c>
      <c r="K357" s="11">
        <v>-43.007989999999999</v>
      </c>
      <c r="L357" s="11">
        <v>146.16561999999999</v>
      </c>
      <c r="N357" s="8" t="s">
        <v>37</v>
      </c>
      <c r="O357" s="8">
        <v>2</v>
      </c>
      <c r="P357" s="8">
        <v>2</v>
      </c>
    </row>
    <row r="358" spans="1:16" x14ac:dyDescent="0.15">
      <c r="A358" s="9" t="s">
        <v>564</v>
      </c>
      <c r="B358" s="9" t="str">
        <f>VLOOKUP(D358,[1]TASMaps!$H$4:$K$269,3,FALSE)</f>
        <v>TL09</v>
      </c>
      <c r="C358" s="9" t="str">
        <f>VLOOKUP(D358,[1]TASMaps!$H$4:$K$269,4,FALSE)</f>
        <v>Avoca</v>
      </c>
      <c r="D358" s="9">
        <v>5636</v>
      </c>
      <c r="E358" s="9" t="s">
        <v>273</v>
      </c>
      <c r="F358" s="9" t="s">
        <v>18</v>
      </c>
      <c r="G358" s="9" t="s">
        <v>78</v>
      </c>
      <c r="H358" s="8" t="s">
        <v>20</v>
      </c>
      <c r="I358" s="10">
        <v>561330</v>
      </c>
      <c r="J358" s="10">
        <v>5360900</v>
      </c>
      <c r="K358" s="11">
        <v>-41.90146</v>
      </c>
      <c r="L358" s="11">
        <v>147.73939999999999</v>
      </c>
      <c r="N358" s="8" t="s">
        <v>37</v>
      </c>
      <c r="P358" s="8">
        <v>1</v>
      </c>
    </row>
    <row r="359" spans="1:16" x14ac:dyDescent="0.15">
      <c r="A359" s="9" t="s">
        <v>565</v>
      </c>
      <c r="B359" s="9" t="str">
        <f>VLOOKUP(D359,[1]TASMaps!$H$4:$K$269,3,FALSE)</f>
        <v>TM08</v>
      </c>
      <c r="C359" s="9" t="str">
        <f>VLOOKUP(D359,[1]TASMaps!$H$4:$K$269,4,FALSE)</f>
        <v>Dogs Head Tier</v>
      </c>
      <c r="D359" s="9">
        <v>5233</v>
      </c>
      <c r="E359" s="9" t="s">
        <v>566</v>
      </c>
      <c r="F359" s="9" t="s">
        <v>23</v>
      </c>
      <c r="G359" s="9" t="s">
        <v>36</v>
      </c>
      <c r="H359" s="8" t="s">
        <v>20</v>
      </c>
      <c r="I359" s="10">
        <v>520060</v>
      </c>
      <c r="J359" s="10">
        <v>5338930</v>
      </c>
      <c r="K359" s="11">
        <v>-42.101460000000003</v>
      </c>
      <c r="L359" s="11">
        <v>147.24260000000001</v>
      </c>
      <c r="N359" s="8" t="s">
        <v>37</v>
      </c>
      <c r="P359" s="8">
        <v>1</v>
      </c>
    </row>
    <row r="360" spans="1:16" x14ac:dyDescent="0.15">
      <c r="A360" s="9" t="s">
        <v>567</v>
      </c>
      <c r="B360" s="9" t="str">
        <f>VLOOKUP(D360,[1]TASMaps!$H$4:$K$269,3,FALSE)</f>
        <v>TQ07</v>
      </c>
      <c r="C360" s="9" t="str">
        <f>VLOOKUP(D360,[1]TASMaps!$H$4:$K$269,4,FALSE)</f>
        <v>Snowy Range</v>
      </c>
      <c r="D360" s="9">
        <v>4624</v>
      </c>
      <c r="E360" s="9" t="s">
        <v>568</v>
      </c>
      <c r="F360" s="9" t="s">
        <v>30</v>
      </c>
      <c r="G360" s="9" t="s">
        <v>27</v>
      </c>
      <c r="H360" s="8" t="s">
        <v>20</v>
      </c>
      <c r="I360" s="10">
        <v>474400</v>
      </c>
      <c r="J360" s="10">
        <v>5243730</v>
      </c>
      <c r="K360" s="11">
        <v>-42.958640000000003</v>
      </c>
      <c r="L360" s="11">
        <v>146.68612999999999</v>
      </c>
      <c r="N360" s="8" t="s">
        <v>37</v>
      </c>
      <c r="P360" s="8">
        <v>1</v>
      </c>
    </row>
    <row r="361" spans="1:16" x14ac:dyDescent="0.15">
      <c r="A361" s="7" t="s">
        <v>569</v>
      </c>
      <c r="B361" s="9" t="str">
        <f>VLOOKUP(D361,[1]TASMaps!$H$4:$K$269,3,FALSE)</f>
        <v>TJ05</v>
      </c>
      <c r="C361" s="9" t="str">
        <f>VLOOKUP(D361,[1]TASMaps!$H$4:$K$269,4,FALSE)</f>
        <v>Emu River</v>
      </c>
      <c r="D361" s="9">
        <v>4044</v>
      </c>
      <c r="E361" s="9" t="s">
        <v>431</v>
      </c>
      <c r="F361" s="9" t="s">
        <v>30</v>
      </c>
      <c r="G361" s="9" t="s">
        <v>113</v>
      </c>
      <c r="H361" s="8" t="s">
        <v>20</v>
      </c>
      <c r="I361" s="10">
        <v>418900</v>
      </c>
      <c r="J361" s="10">
        <v>5441380</v>
      </c>
      <c r="K361" s="11">
        <v>-41.174869999999999</v>
      </c>
      <c r="L361" s="11">
        <v>146.03314</v>
      </c>
      <c r="N361" s="8" t="s">
        <v>37</v>
      </c>
      <c r="O361" s="8">
        <v>1</v>
      </c>
      <c r="P361" s="8">
        <v>1</v>
      </c>
    </row>
    <row r="362" spans="1:16" x14ac:dyDescent="0.15">
      <c r="A362" s="7" t="s">
        <v>570</v>
      </c>
      <c r="B362" s="9" t="str">
        <f>VLOOKUP(D362,[1]TASMaps!$H$4:$K$269,3,FALSE)</f>
        <v>TK06</v>
      </c>
      <c r="C362" s="9" t="str">
        <f>VLOOKUP(D362,[1]TASMaps!$H$4:$K$269,4,FALSE)</f>
        <v>Fossey Mountains</v>
      </c>
      <c r="D362" s="9">
        <v>4440</v>
      </c>
      <c r="E362" s="9" t="s">
        <v>571</v>
      </c>
      <c r="F362" s="9" t="s">
        <v>104</v>
      </c>
      <c r="G362" s="9" t="s">
        <v>33</v>
      </c>
      <c r="H362" s="8" t="s">
        <v>20</v>
      </c>
      <c r="I362" s="10">
        <v>455530</v>
      </c>
      <c r="J362" s="10">
        <v>5404170</v>
      </c>
      <c r="K362" s="11">
        <v>-41.512869999999999</v>
      </c>
      <c r="L362" s="11">
        <v>146.46708000000001</v>
      </c>
      <c r="N362" s="8" t="s">
        <v>37</v>
      </c>
      <c r="O362" s="8">
        <v>1</v>
      </c>
      <c r="P362" s="8">
        <v>1</v>
      </c>
    </row>
    <row r="363" spans="1:16" x14ac:dyDescent="0.15">
      <c r="A363" s="9" t="s">
        <v>572</v>
      </c>
      <c r="B363" s="9" t="str">
        <f>VLOOKUP(D363,[1]TASMaps!$H$4:$K$269,3,FALSE)</f>
        <v>TP05</v>
      </c>
      <c r="C363" s="9" t="str">
        <f>VLOOKUP(D363,[1]TASMaps!$H$4:$K$269,4,FALSE)</f>
        <v>Princess Range</v>
      </c>
      <c r="D363" s="9">
        <v>4029</v>
      </c>
      <c r="E363" s="9" t="s">
        <v>12</v>
      </c>
      <c r="F363" s="9" t="s">
        <v>23</v>
      </c>
      <c r="G363" s="9" t="s">
        <v>24</v>
      </c>
      <c r="H363" s="8" t="s">
        <v>20</v>
      </c>
      <c r="I363" s="10">
        <v>400500</v>
      </c>
      <c r="J363" s="10">
        <v>5296970</v>
      </c>
      <c r="K363" s="11">
        <v>-42.473230000000001</v>
      </c>
      <c r="L363" s="11">
        <v>145.78955999999999</v>
      </c>
      <c r="N363" s="8" t="s">
        <v>37</v>
      </c>
      <c r="P363" s="8">
        <v>1</v>
      </c>
    </row>
    <row r="364" spans="1:16" x14ac:dyDescent="0.15">
      <c r="A364" s="7" t="s">
        <v>573</v>
      </c>
      <c r="B364" s="9" t="str">
        <f>VLOOKUP(D364,[1]TASMaps!$H$4:$K$269,3,FALSE)</f>
        <v>TL05</v>
      </c>
      <c r="C364" s="9" t="str">
        <f>VLOOKUP(D364,[1]TASMaps!$H$4:$K$269,4,FALSE)</f>
        <v>Murchison</v>
      </c>
      <c r="D364" s="9">
        <v>3836</v>
      </c>
      <c r="E364" s="9" t="s">
        <v>75</v>
      </c>
      <c r="F364" s="9" t="s">
        <v>18</v>
      </c>
      <c r="G364" s="9" t="s">
        <v>24</v>
      </c>
      <c r="H364" s="8" t="s">
        <v>20</v>
      </c>
      <c r="I364" s="10">
        <v>381220</v>
      </c>
      <c r="J364" s="10">
        <v>5365100</v>
      </c>
      <c r="K364" s="11">
        <v>-41.857089999999999</v>
      </c>
      <c r="L364" s="11">
        <v>145.56898000000001</v>
      </c>
      <c r="N364" s="8" t="s">
        <v>37</v>
      </c>
      <c r="P364" s="8">
        <v>1</v>
      </c>
    </row>
    <row r="365" spans="1:16" x14ac:dyDescent="0.15">
      <c r="A365" s="7" t="s">
        <v>574</v>
      </c>
      <c r="B365" s="9" t="str">
        <f>VLOOKUP(D365,[1]TASMaps!$H$4:$K$269,3,FALSE)</f>
        <v>TM06</v>
      </c>
      <c r="C365" s="9" t="str">
        <f>VLOOKUP(D365,[1]TASMaps!$H$4:$K$269,4,FALSE)</f>
        <v>St Clair</v>
      </c>
      <c r="D365" s="9">
        <v>4235</v>
      </c>
      <c r="E365" s="9" t="s">
        <v>32</v>
      </c>
      <c r="F365" s="9" t="s">
        <v>30</v>
      </c>
      <c r="G365" s="9" t="s">
        <v>36</v>
      </c>
      <c r="H365" s="8" t="s">
        <v>20</v>
      </c>
      <c r="I365" s="10">
        <v>421335</v>
      </c>
      <c r="J365" s="10">
        <v>5352620</v>
      </c>
      <c r="K365" s="11">
        <v>-41.974490000000003</v>
      </c>
      <c r="L365" s="11">
        <v>146.05053000000001</v>
      </c>
      <c r="M365" s="8" t="s">
        <v>21</v>
      </c>
      <c r="N365" s="8">
        <v>4</v>
      </c>
      <c r="O365" s="8">
        <v>4</v>
      </c>
      <c r="P365" s="8">
        <v>4</v>
      </c>
    </row>
    <row r="366" spans="1:16" x14ac:dyDescent="0.15">
      <c r="A366" s="7" t="s">
        <v>575</v>
      </c>
      <c r="B366" s="9" t="str">
        <f>VLOOKUP(D366,[1]TASMaps!$H$4:$K$269,3,FALSE)</f>
        <v>TM05</v>
      </c>
      <c r="C366" s="9" t="str">
        <f>VLOOKUP(D366,[1]TASMaps!$H$4:$K$269,4,FALSE)</f>
        <v>Eldon</v>
      </c>
      <c r="D366" s="9">
        <v>4034</v>
      </c>
      <c r="E366" s="9" t="s">
        <v>270</v>
      </c>
      <c r="F366" s="9" t="s">
        <v>227</v>
      </c>
      <c r="G366" s="9" t="s">
        <v>24</v>
      </c>
      <c r="H366" s="8" t="s">
        <v>20</v>
      </c>
      <c r="I366" s="10">
        <v>417240</v>
      </c>
      <c r="J366" s="10">
        <v>5342310</v>
      </c>
      <c r="K366" s="11">
        <v>-42.066920000000003</v>
      </c>
      <c r="L366" s="11">
        <v>145.99965</v>
      </c>
      <c r="M366" s="8" t="s">
        <v>21</v>
      </c>
      <c r="N366" s="8">
        <v>2</v>
      </c>
      <c r="O366" s="8">
        <v>2</v>
      </c>
      <c r="P366" s="8">
        <v>2</v>
      </c>
    </row>
    <row r="367" spans="1:16" x14ac:dyDescent="0.15">
      <c r="A367" s="7" t="s">
        <v>576</v>
      </c>
      <c r="B367" s="9" t="str">
        <f>VLOOKUP(D367,[1]TASMaps!$H$4:$K$269,3,FALSE)</f>
        <v>TN10</v>
      </c>
      <c r="C367" s="9" t="str">
        <f>VLOOKUP(D367,[1]TASMaps!$H$4:$K$269,4,FALSE)</f>
        <v>Great Oyster</v>
      </c>
      <c r="D367" s="9">
        <v>6032</v>
      </c>
      <c r="E367" s="9" t="s">
        <v>544</v>
      </c>
      <c r="F367" s="9" t="s">
        <v>30</v>
      </c>
      <c r="G367" s="9" t="s">
        <v>62</v>
      </c>
      <c r="H367" s="8" t="s">
        <v>20</v>
      </c>
      <c r="I367" s="10">
        <v>608720</v>
      </c>
      <c r="J367" s="10">
        <v>5325890</v>
      </c>
      <c r="K367" s="11">
        <v>-42.211599999999997</v>
      </c>
      <c r="L367" s="11">
        <v>148.31712999999999</v>
      </c>
      <c r="N367" s="8" t="s">
        <v>37</v>
      </c>
      <c r="O367" s="8">
        <v>1</v>
      </c>
      <c r="P367" s="8">
        <v>1</v>
      </c>
    </row>
    <row r="368" spans="1:16" x14ac:dyDescent="0.15">
      <c r="A368" s="7" t="s">
        <v>577</v>
      </c>
      <c r="B368" s="9" t="str">
        <f>VLOOKUP(D368,[1]TASMaps!$H$4:$K$269,3,FALSE)</f>
        <v>TL05</v>
      </c>
      <c r="C368" s="9" t="str">
        <f>VLOOKUP(D368,[1]TASMaps!$H$4:$K$269,4,FALSE)</f>
        <v>Murchison</v>
      </c>
      <c r="D368" s="9">
        <v>3837</v>
      </c>
      <c r="E368" s="9" t="s">
        <v>194</v>
      </c>
      <c r="F368" s="9" t="s">
        <v>30</v>
      </c>
      <c r="G368" s="9" t="s">
        <v>24</v>
      </c>
      <c r="H368" s="8" t="s">
        <v>20</v>
      </c>
      <c r="I368" s="10">
        <v>398490</v>
      </c>
      <c r="J368" s="10">
        <v>5378630</v>
      </c>
      <c r="K368" s="11">
        <v>-41.737659999999998</v>
      </c>
      <c r="L368" s="11">
        <v>145.77931000000001</v>
      </c>
      <c r="N368" s="8" t="s">
        <v>37</v>
      </c>
      <c r="O368" s="8">
        <v>2</v>
      </c>
      <c r="P368" s="8">
        <v>2</v>
      </c>
    </row>
    <row r="369" spans="1:16" x14ac:dyDescent="0.15">
      <c r="A369" s="7" t="s">
        <v>578</v>
      </c>
      <c r="B369" s="9" t="str">
        <f>VLOOKUP(D369,[1]TASMaps!$H$4:$K$269,3,FALSE)</f>
        <v>TQ08</v>
      </c>
      <c r="C369" s="9" t="str">
        <f>VLOOKUP(D369,[1]TASMaps!$H$4:$K$269,4,FALSE)</f>
        <v>Wellington</v>
      </c>
      <c r="D369" s="9">
        <v>5226</v>
      </c>
      <c r="E369" s="9" t="s">
        <v>439</v>
      </c>
      <c r="F369" s="9" t="s">
        <v>227</v>
      </c>
      <c r="G369" s="9" t="s">
        <v>385</v>
      </c>
      <c r="H369" s="8" t="s">
        <v>20</v>
      </c>
      <c r="I369" s="10">
        <v>529060</v>
      </c>
      <c r="J369" s="10">
        <v>5264020</v>
      </c>
      <c r="K369" s="11">
        <v>-42.77581</v>
      </c>
      <c r="L369" s="11">
        <v>147.35524000000001</v>
      </c>
      <c r="N369" s="8" t="s">
        <v>37</v>
      </c>
      <c r="P369" s="8">
        <v>1</v>
      </c>
    </row>
    <row r="370" spans="1:16" x14ac:dyDescent="0.15">
      <c r="A370" s="7" t="s">
        <v>579</v>
      </c>
      <c r="B370" s="9" t="str">
        <f>VLOOKUP(D370,[1]TASMaps!$H$4:$K$269,3,FALSE)</f>
        <v>TP06</v>
      </c>
      <c r="C370" s="9" t="str">
        <f>VLOOKUP(D370,[1]TASMaps!$H$4:$K$269,4,FALSE)</f>
        <v>Denison Range</v>
      </c>
      <c r="D370" s="9">
        <v>4428</v>
      </c>
      <c r="E370" s="9" t="s">
        <v>414</v>
      </c>
      <c r="F370" s="9" t="s">
        <v>227</v>
      </c>
      <c r="G370" s="9" t="s">
        <v>36</v>
      </c>
      <c r="H370" s="8" t="s">
        <v>20</v>
      </c>
      <c r="I370" s="10">
        <v>440400</v>
      </c>
      <c r="J370" s="10">
        <v>5288470</v>
      </c>
      <c r="K370" s="11">
        <v>-42.553870000000003</v>
      </c>
      <c r="L370" s="11">
        <v>146.27402000000001</v>
      </c>
      <c r="N370" s="8" t="s">
        <v>37</v>
      </c>
      <c r="O370" s="8">
        <v>1</v>
      </c>
      <c r="P370" s="8">
        <v>2</v>
      </c>
    </row>
    <row r="371" spans="1:16" x14ac:dyDescent="0.15">
      <c r="A371" s="7" t="s">
        <v>580</v>
      </c>
      <c r="B371" s="9" t="str">
        <f>VLOOKUP(D371,[1]TASMaps!$H$4:$K$269,3,FALSE)</f>
        <v>TL06</v>
      </c>
      <c r="C371" s="9" t="str">
        <f>VLOOKUP(D371,[1]TASMaps!$H$4:$K$269,4,FALSE)</f>
        <v>Jerusalem</v>
      </c>
      <c r="D371" s="9">
        <v>4436</v>
      </c>
      <c r="E371" s="9" t="s">
        <v>581</v>
      </c>
      <c r="F371" s="9" t="s">
        <v>104</v>
      </c>
      <c r="G371" s="9" t="s">
        <v>36</v>
      </c>
      <c r="H371" s="8" t="s">
        <v>20</v>
      </c>
      <c r="I371" s="10">
        <v>445330</v>
      </c>
      <c r="J371" s="10">
        <v>5366400</v>
      </c>
      <c r="K371" s="11">
        <v>-41.852420000000002</v>
      </c>
      <c r="L371" s="11">
        <v>146.34139999999999</v>
      </c>
      <c r="N371" s="8" t="s">
        <v>37</v>
      </c>
      <c r="O371" s="8">
        <v>1</v>
      </c>
      <c r="P371" s="8">
        <v>1</v>
      </c>
    </row>
    <row r="372" spans="1:16" x14ac:dyDescent="0.15">
      <c r="A372" s="7" t="s">
        <v>582</v>
      </c>
      <c r="B372" s="9" t="str">
        <f>VLOOKUP(D372,[1]TASMaps!$H$4:$K$269,3,FALSE)</f>
        <v>TM05</v>
      </c>
      <c r="C372" s="9" t="str">
        <f>VLOOKUP(D372,[1]TASMaps!$H$4:$K$269,4,FALSE)</f>
        <v>Eldon</v>
      </c>
      <c r="D372" s="9">
        <v>4035</v>
      </c>
      <c r="E372" s="9" t="s">
        <v>291</v>
      </c>
      <c r="F372" s="9" t="s">
        <v>30</v>
      </c>
      <c r="G372" s="9" t="s">
        <v>24</v>
      </c>
      <c r="H372" s="8" t="s">
        <v>20</v>
      </c>
      <c r="I372" s="10">
        <v>414780</v>
      </c>
      <c r="J372" s="10">
        <v>5357650</v>
      </c>
      <c r="K372" s="11">
        <v>-41.928510000000003</v>
      </c>
      <c r="L372" s="11">
        <v>145.97215</v>
      </c>
      <c r="N372" s="8" t="s">
        <v>37</v>
      </c>
      <c r="P372" s="8">
        <v>1</v>
      </c>
    </row>
    <row r="373" spans="1:16" x14ac:dyDescent="0.15">
      <c r="A373" s="7" t="s">
        <v>583</v>
      </c>
      <c r="B373" s="9" t="str">
        <f>VLOOKUP(D373,[1]TASMaps!$H$4:$K$269,3,FALSE)</f>
        <v>TR06</v>
      </c>
      <c r="C373" s="9" t="str">
        <f>VLOOKUP(D373,[1]TASMaps!$H$4:$K$269,4,FALSE)</f>
        <v>Western Arthur</v>
      </c>
      <c r="D373" s="9">
        <v>4222</v>
      </c>
      <c r="E373" s="9" t="s">
        <v>277</v>
      </c>
      <c r="F373" s="9" t="s">
        <v>30</v>
      </c>
      <c r="G373" s="9" t="s">
        <v>27</v>
      </c>
      <c r="H373" s="8" t="s">
        <v>20</v>
      </c>
      <c r="I373" s="10">
        <v>423480</v>
      </c>
      <c r="J373" s="10">
        <v>5228280</v>
      </c>
      <c r="K373" s="11">
        <v>-43.094340000000003</v>
      </c>
      <c r="L373" s="11">
        <v>146.05976000000001</v>
      </c>
      <c r="N373" s="8" t="s">
        <v>37</v>
      </c>
      <c r="P373" s="8">
        <v>1</v>
      </c>
    </row>
    <row r="374" spans="1:16" x14ac:dyDescent="0.15">
      <c r="A374" s="7" t="s">
        <v>584</v>
      </c>
      <c r="B374" s="9" t="str">
        <f>VLOOKUP(D374,[1]TASMaps!$H$4:$K$269,3,FALSE)</f>
        <v>TN08</v>
      </c>
      <c r="C374" s="9" t="str">
        <f>VLOOKUP(D374,[1]TASMaps!$H$4:$K$269,4,FALSE)</f>
        <v>Tiberias</v>
      </c>
      <c r="D374" s="9">
        <v>5030</v>
      </c>
      <c r="E374" s="9" t="s">
        <v>166</v>
      </c>
      <c r="F374" s="9" t="s">
        <v>18</v>
      </c>
      <c r="G374" s="9" t="s">
        <v>36</v>
      </c>
      <c r="H374" s="8" t="s">
        <v>20</v>
      </c>
      <c r="I374" s="10">
        <v>509500</v>
      </c>
      <c r="J374" s="10">
        <v>5307220</v>
      </c>
      <c r="K374" s="11">
        <v>-42.387250000000002</v>
      </c>
      <c r="L374" s="11">
        <v>147.11541</v>
      </c>
      <c r="N374" s="8" t="s">
        <v>37</v>
      </c>
      <c r="P374" s="8">
        <v>1</v>
      </c>
    </row>
    <row r="375" spans="1:16" x14ac:dyDescent="0.15">
      <c r="A375" s="7" t="s">
        <v>585</v>
      </c>
      <c r="B375" s="9" t="str">
        <f>VLOOKUP(D375,[1]TASMaps!$H$4:$K$269,3,FALSE)</f>
        <v>TR08</v>
      </c>
      <c r="C375" s="9" t="str">
        <f>VLOOKUP(D375,[1]TASMaps!$H$4:$K$269,4,FALSE)</f>
        <v>Channel</v>
      </c>
      <c r="D375" s="9">
        <v>5022</v>
      </c>
      <c r="E375" s="9" t="s">
        <v>586</v>
      </c>
      <c r="F375" s="9" t="s">
        <v>30</v>
      </c>
      <c r="G375" s="9" t="s">
        <v>27</v>
      </c>
      <c r="H375" s="8" t="s">
        <v>20</v>
      </c>
      <c r="I375" s="10">
        <v>509460</v>
      </c>
      <c r="J375" s="10">
        <v>5229050</v>
      </c>
      <c r="K375" s="11">
        <v>-43.091209999999997</v>
      </c>
      <c r="L375" s="11">
        <v>147.11623</v>
      </c>
      <c r="N375" s="8" t="s">
        <v>37</v>
      </c>
      <c r="O375" s="8">
        <v>1</v>
      </c>
      <c r="P375" s="8">
        <v>1</v>
      </c>
    </row>
    <row r="376" spans="1:16" x14ac:dyDescent="0.15">
      <c r="A376" s="7" t="s">
        <v>587</v>
      </c>
      <c r="B376" s="9" t="str">
        <f>VLOOKUP(D376,[1]TASMaps!$H$4:$K$269,3,FALSE)</f>
        <v>TQ06</v>
      </c>
      <c r="C376" s="9" t="str">
        <f>VLOOKUP(D376,[1]TASMaps!$H$4:$K$269,4,FALSE)</f>
        <v>Lake Pedder</v>
      </c>
      <c r="D376" s="9">
        <v>4224</v>
      </c>
      <c r="E376" s="9" t="s">
        <v>300</v>
      </c>
      <c r="F376" s="9" t="s">
        <v>30</v>
      </c>
      <c r="G376" s="9" t="s">
        <v>19</v>
      </c>
      <c r="H376" s="8" t="s">
        <v>20</v>
      </c>
      <c r="I376" s="10">
        <v>427200</v>
      </c>
      <c r="J376" s="10">
        <v>5241920</v>
      </c>
      <c r="K376" s="11">
        <v>-42.971890000000002</v>
      </c>
      <c r="L376" s="11">
        <v>146.10724999999999</v>
      </c>
      <c r="N376" s="8" t="s">
        <v>37</v>
      </c>
      <c r="O376" s="8">
        <v>1</v>
      </c>
      <c r="P376" s="8">
        <v>2</v>
      </c>
    </row>
    <row r="377" spans="1:16" x14ac:dyDescent="0.15">
      <c r="A377" s="7" t="s">
        <v>588</v>
      </c>
      <c r="B377" s="9" t="str">
        <f>VLOOKUP(D377,[1]TASMaps!$H$4:$K$269,3,FALSE)</f>
        <v>TR06</v>
      </c>
      <c r="C377" s="9" t="str">
        <f>VLOOKUP(D377,[1]TASMaps!$H$4:$K$269,4,FALSE)</f>
        <v>Western Arthur</v>
      </c>
      <c r="D377" s="9">
        <v>4223</v>
      </c>
      <c r="E377" s="9" t="s">
        <v>318</v>
      </c>
      <c r="F377" s="9" t="s">
        <v>30</v>
      </c>
      <c r="G377" s="9" t="s">
        <v>27</v>
      </c>
      <c r="H377" s="8" t="s">
        <v>20</v>
      </c>
      <c r="I377" s="10">
        <v>423020</v>
      </c>
      <c r="J377" s="10">
        <v>5230310</v>
      </c>
      <c r="K377" s="11">
        <v>-43.076009999999997</v>
      </c>
      <c r="L377" s="11">
        <v>146.05439000000001</v>
      </c>
      <c r="N377" s="8">
        <v>4</v>
      </c>
      <c r="O377" s="8">
        <v>4</v>
      </c>
      <c r="P377" s="8">
        <v>4</v>
      </c>
    </row>
    <row r="378" spans="1:16" x14ac:dyDescent="0.15">
      <c r="A378" s="9" t="s">
        <v>589</v>
      </c>
      <c r="B378" s="9" t="str">
        <f>VLOOKUP(D378,[1]TASMaps!$H$4:$K$269,3,FALSE)</f>
        <v>TR08</v>
      </c>
      <c r="C378" s="9" t="str">
        <f>VLOOKUP(D378,[1]TASMaps!$H$4:$K$269,4,FALSE)</f>
        <v>Channel</v>
      </c>
      <c r="D378" s="9">
        <v>5021</v>
      </c>
      <c r="E378" s="9" t="s">
        <v>403</v>
      </c>
      <c r="F378" s="9" t="s">
        <v>30</v>
      </c>
      <c r="G378" s="9" t="s">
        <v>110</v>
      </c>
      <c r="H378" s="8" t="s">
        <v>20</v>
      </c>
      <c r="I378" s="10">
        <v>516480</v>
      </c>
      <c r="J378" s="10">
        <v>5211310</v>
      </c>
      <c r="K378" s="11">
        <v>-43.250830000000001</v>
      </c>
      <c r="L378" s="11">
        <v>147.20302000000001</v>
      </c>
      <c r="N378" s="8" t="s">
        <v>37</v>
      </c>
      <c r="P378" s="8">
        <v>1</v>
      </c>
    </row>
    <row r="379" spans="1:16" x14ac:dyDescent="0.15">
      <c r="A379" s="9" t="s">
        <v>590</v>
      </c>
      <c r="B379" s="9" t="str">
        <f>VLOOKUP(D379,[1]TASMaps!$H$4:$K$269,3,FALSE)</f>
        <v>TK06</v>
      </c>
      <c r="C379" s="9" t="str">
        <f>VLOOKUP(D379,[1]TASMaps!$H$4:$K$269,4,FALSE)</f>
        <v>Fossey Mountains</v>
      </c>
      <c r="D379" s="9">
        <v>4439</v>
      </c>
      <c r="E379" s="9" t="s">
        <v>591</v>
      </c>
      <c r="F379" s="9" t="s">
        <v>30</v>
      </c>
      <c r="G379" s="9" t="s">
        <v>33</v>
      </c>
      <c r="H379" s="8" t="s">
        <v>20</v>
      </c>
      <c r="I379" s="10">
        <v>440520</v>
      </c>
      <c r="J379" s="10">
        <v>5399390</v>
      </c>
      <c r="K379" s="11">
        <v>-41.554949999999998</v>
      </c>
      <c r="L379" s="11">
        <v>146.28675000000001</v>
      </c>
      <c r="N379" s="8" t="s">
        <v>37</v>
      </c>
      <c r="P379" s="8">
        <v>1</v>
      </c>
    </row>
    <row r="380" spans="1:16" x14ac:dyDescent="0.15">
      <c r="A380" s="7" t="s">
        <v>592</v>
      </c>
      <c r="B380" s="9" t="str">
        <f>VLOOKUP(D380,[1]TASMaps!$H$4:$K$269,3,FALSE)</f>
        <v>TM05</v>
      </c>
      <c r="C380" s="9" t="str">
        <f>VLOOKUP(D380,[1]TASMaps!$H$4:$K$269,4,FALSE)</f>
        <v>Eldon</v>
      </c>
      <c r="D380" s="9">
        <v>4035</v>
      </c>
      <c r="E380" s="9" t="s">
        <v>291</v>
      </c>
      <c r="F380" s="9" t="s">
        <v>30</v>
      </c>
      <c r="G380" s="9" t="s">
        <v>24</v>
      </c>
      <c r="H380" s="8" t="s">
        <v>20</v>
      </c>
      <c r="I380" s="10">
        <v>419065</v>
      </c>
      <c r="J380" s="10">
        <v>5352730</v>
      </c>
      <c r="K380" s="11">
        <v>-41.973269999999999</v>
      </c>
      <c r="L380" s="11">
        <v>146.02314999999999</v>
      </c>
      <c r="M380" s="8" t="s">
        <v>21</v>
      </c>
      <c r="N380" s="8">
        <v>3</v>
      </c>
      <c r="O380" s="8">
        <v>3</v>
      </c>
      <c r="P380" s="8">
        <v>3</v>
      </c>
    </row>
    <row r="381" spans="1:16" x14ac:dyDescent="0.15">
      <c r="A381" s="7" t="s">
        <v>593</v>
      </c>
      <c r="B381" s="9" t="str">
        <f>VLOOKUP(D381,[1]TASMaps!$H$4:$K$269,3,FALSE)</f>
        <v>TK07</v>
      </c>
      <c r="C381" s="9" t="str">
        <f>VLOOKUP(D381,[1]TASMaps!$H$4:$K$269,4,FALSE)</f>
        <v>Meander Valley</v>
      </c>
      <c r="D381" s="9">
        <v>4639</v>
      </c>
      <c r="E381" s="9" t="s">
        <v>594</v>
      </c>
      <c r="F381" s="9" t="s">
        <v>18</v>
      </c>
      <c r="G381" s="9" t="s">
        <v>33</v>
      </c>
      <c r="H381" s="8" t="s">
        <v>20</v>
      </c>
      <c r="I381" s="10">
        <v>479760</v>
      </c>
      <c r="J381" s="10">
        <v>5390850</v>
      </c>
      <c r="K381" s="11">
        <v>-41.63382</v>
      </c>
      <c r="L381" s="11">
        <v>146.75700000000001</v>
      </c>
      <c r="N381" s="8" t="s">
        <v>37</v>
      </c>
      <c r="P381" s="8">
        <v>1</v>
      </c>
    </row>
    <row r="382" spans="1:16" x14ac:dyDescent="0.15">
      <c r="A382" s="7" t="s">
        <v>595</v>
      </c>
      <c r="B382" s="9" t="str">
        <f>VLOOKUP(D382,[1]TASMaps!$H$4:$K$269,3,FALSE)</f>
        <v>TQ08</v>
      </c>
      <c r="C382" s="9" t="str">
        <f>VLOOKUP(D382,[1]TASMaps!$H$4:$K$269,4,FALSE)</f>
        <v>Wellington</v>
      </c>
      <c r="D382" s="9">
        <v>5226</v>
      </c>
      <c r="E382" s="9" t="s">
        <v>439</v>
      </c>
      <c r="F382" s="9" t="s">
        <v>18</v>
      </c>
      <c r="G382" s="9" t="s">
        <v>596</v>
      </c>
      <c r="H382" s="8" t="s">
        <v>20</v>
      </c>
      <c r="I382" s="10">
        <v>526450</v>
      </c>
      <c r="J382" s="10">
        <v>5264730</v>
      </c>
      <c r="K382" s="11">
        <v>-42.769509999999997</v>
      </c>
      <c r="L382" s="11">
        <v>147.32329999999999</v>
      </c>
      <c r="N382" s="8" t="s">
        <v>37</v>
      </c>
      <c r="P382" s="8">
        <v>1</v>
      </c>
    </row>
    <row r="383" spans="1:16" x14ac:dyDescent="0.15">
      <c r="A383" s="7" t="s">
        <v>597</v>
      </c>
      <c r="B383" s="9" t="str">
        <f>VLOOKUP(D383,[1]TASMaps!$H$4:$K$269,3,FALSE)</f>
        <v>TK03</v>
      </c>
      <c r="C383" s="9" t="str">
        <f>VLOOKUP(D383,[1]TASMaps!$H$4:$K$269,4,FALSE)</f>
        <v>Norfolk Range</v>
      </c>
      <c r="D383" s="9">
        <v>3240</v>
      </c>
      <c r="E383" s="9" t="s">
        <v>477</v>
      </c>
      <c r="F383" s="9" t="s">
        <v>30</v>
      </c>
      <c r="G383" s="9" t="s">
        <v>107</v>
      </c>
      <c r="H383" s="8" t="s">
        <v>20</v>
      </c>
      <c r="I383" s="10">
        <v>335550</v>
      </c>
      <c r="J383" s="10">
        <v>5408710</v>
      </c>
      <c r="K383" s="11">
        <v>-41.456339999999997</v>
      </c>
      <c r="L383" s="11">
        <v>145.03102999999999</v>
      </c>
      <c r="N383" s="8" t="s">
        <v>37</v>
      </c>
      <c r="O383" s="8">
        <v>1</v>
      </c>
      <c r="P383" s="8">
        <v>1</v>
      </c>
    </row>
    <row r="384" spans="1:16" x14ac:dyDescent="0.15">
      <c r="A384" s="7" t="s">
        <v>598</v>
      </c>
      <c r="B384" s="9" t="str">
        <f>VLOOKUP(D384,[1]TASMaps!$H$4:$K$269,3,FALSE)</f>
        <v>TN06</v>
      </c>
      <c r="C384" s="9" t="str">
        <f>VLOOKUP(D384,[1]TASMaps!$H$4:$K$269,4,FALSE)</f>
        <v>King William</v>
      </c>
      <c r="D384" s="9">
        <v>4232</v>
      </c>
      <c r="E384" s="9" t="s">
        <v>80</v>
      </c>
      <c r="F384" s="9" t="s">
        <v>23</v>
      </c>
      <c r="G384" s="9" t="s">
        <v>36</v>
      </c>
      <c r="H384" s="8" t="s">
        <v>20</v>
      </c>
      <c r="I384" s="10">
        <v>427710</v>
      </c>
      <c r="J384" s="10">
        <v>5323904</v>
      </c>
      <c r="K384" s="11">
        <v>-42.233699999999999</v>
      </c>
      <c r="L384" s="11">
        <v>146.12391</v>
      </c>
      <c r="N384" s="8" t="s">
        <v>37</v>
      </c>
      <c r="P384" s="8">
        <v>1</v>
      </c>
    </row>
    <row r="385" spans="1:16" x14ac:dyDescent="0.15">
      <c r="A385" s="7" t="s">
        <v>599</v>
      </c>
      <c r="B385" s="9" t="str">
        <f>VLOOKUP(D385,[1]TASMaps!$H$4:$K$269,3,FALSE)</f>
        <v>TK09</v>
      </c>
      <c r="C385" s="9" t="str">
        <f>VLOOKUP(D385,[1]TASMaps!$H$4:$K$269,4,FALSE)</f>
        <v>Ben Lomond</v>
      </c>
      <c r="D385" s="9">
        <v>5440</v>
      </c>
      <c r="E385" s="9" t="s">
        <v>320</v>
      </c>
      <c r="F385" s="9" t="s">
        <v>30</v>
      </c>
      <c r="G385" s="9" t="s">
        <v>78</v>
      </c>
      <c r="H385" s="8" t="s">
        <v>20</v>
      </c>
      <c r="I385" s="10">
        <v>556580</v>
      </c>
      <c r="J385" s="10">
        <v>5402140</v>
      </c>
      <c r="K385" s="11">
        <v>-41.530389999999997</v>
      </c>
      <c r="L385" s="11">
        <v>147.67822000000001</v>
      </c>
      <c r="N385" s="8" t="s">
        <v>37</v>
      </c>
      <c r="O385" s="8">
        <v>1</v>
      </c>
      <c r="P385" s="8">
        <v>1</v>
      </c>
    </row>
    <row r="386" spans="1:16" x14ac:dyDescent="0.15">
      <c r="A386" s="7" t="s">
        <v>600</v>
      </c>
      <c r="B386" s="9" t="str">
        <f>VLOOKUP(D386,[1]TASMaps!$H$4:$K$269,3,FALSE)</f>
        <v>TL04</v>
      </c>
      <c r="C386" s="9" t="str">
        <f>VLOOKUP(D386,[1]TASMaps!$H$4:$K$269,4,FALSE)</f>
        <v>Lake Pieman</v>
      </c>
      <c r="D386" s="9">
        <v>3636</v>
      </c>
      <c r="E386" s="9" t="s">
        <v>467</v>
      </c>
      <c r="F386" s="9" t="s">
        <v>30</v>
      </c>
      <c r="G386" s="9" t="s">
        <v>24</v>
      </c>
      <c r="H386" s="8" t="s">
        <v>20</v>
      </c>
      <c r="I386" s="10">
        <v>377030</v>
      </c>
      <c r="J386" s="10">
        <v>5366830</v>
      </c>
      <c r="K386" s="11">
        <v>-41.840879999999999</v>
      </c>
      <c r="L386" s="11">
        <v>145.51886999999999</v>
      </c>
      <c r="N386" s="8" t="s">
        <v>37</v>
      </c>
      <c r="P386" s="8">
        <v>1</v>
      </c>
    </row>
    <row r="387" spans="1:16" x14ac:dyDescent="0.15">
      <c r="A387" s="9" t="s">
        <v>601</v>
      </c>
      <c r="B387" s="9" t="str">
        <f>VLOOKUP(D387,[1]TASMaps!$H$4:$K$269,3,FALSE)</f>
        <v>TK08</v>
      </c>
      <c r="C387" s="9" t="str">
        <f>VLOOKUP(D387,[1]TASMaps!$H$4:$K$269,4,FALSE)</f>
        <v>Perth</v>
      </c>
      <c r="D387" s="9">
        <v>5239</v>
      </c>
      <c r="E387" s="9" t="s">
        <v>602</v>
      </c>
      <c r="F387" s="9" t="s">
        <v>30</v>
      </c>
      <c r="G387" s="9" t="s">
        <v>78</v>
      </c>
      <c r="H387" s="8" t="s">
        <v>20</v>
      </c>
      <c r="I387" s="10">
        <v>534840</v>
      </c>
      <c r="J387" s="10">
        <v>5390760</v>
      </c>
      <c r="K387" s="11">
        <v>-41.634129999999999</v>
      </c>
      <c r="L387" s="11">
        <v>147.41829999999999</v>
      </c>
      <c r="N387" s="8" t="s">
        <v>37</v>
      </c>
      <c r="P387" s="8">
        <v>1</v>
      </c>
    </row>
    <row r="388" spans="1:16" x14ac:dyDescent="0.15">
      <c r="A388" s="7" t="s">
        <v>603</v>
      </c>
      <c r="B388" s="9" t="str">
        <f>VLOOKUP(D388,[1]TASMaps!$H$4:$K$269,3,FALSE)</f>
        <v>TL05</v>
      </c>
      <c r="C388" s="9" t="str">
        <f>VLOOKUP(D388,[1]TASMaps!$H$4:$K$269,4,FALSE)</f>
        <v>Murchison</v>
      </c>
      <c r="D388" s="9">
        <v>4038</v>
      </c>
      <c r="E388" s="9" t="s">
        <v>90</v>
      </c>
      <c r="F388" s="9" t="s">
        <v>23</v>
      </c>
      <c r="G388" s="9" t="s">
        <v>33</v>
      </c>
      <c r="H388" s="8" t="s">
        <v>20</v>
      </c>
      <c r="I388" s="10">
        <v>414180</v>
      </c>
      <c r="J388" s="10">
        <v>5386830</v>
      </c>
      <c r="K388" s="11">
        <v>-41.665669999999999</v>
      </c>
      <c r="L388" s="11">
        <v>145.96913000000001</v>
      </c>
      <c r="N388" s="8" t="s">
        <v>37</v>
      </c>
      <c r="P388" s="8">
        <v>1</v>
      </c>
    </row>
    <row r="389" spans="1:16" x14ac:dyDescent="0.15">
      <c r="A389" s="7" t="s">
        <v>604</v>
      </c>
      <c r="B389" s="9" t="str">
        <f>VLOOKUP(D389,[1]TASMaps!$H$4:$K$269,3,FALSE)</f>
        <v>TN06</v>
      </c>
      <c r="C389" s="9" t="str">
        <f>VLOOKUP(D389,[1]TASMaps!$H$4:$K$269,4,FALSE)</f>
        <v>King William</v>
      </c>
      <c r="D389" s="9">
        <v>4232</v>
      </c>
      <c r="E389" s="9" t="s">
        <v>80</v>
      </c>
      <c r="F389" s="9" t="s">
        <v>30</v>
      </c>
      <c r="G389" s="9" t="s">
        <v>36</v>
      </c>
      <c r="H389" s="8" t="s">
        <v>20</v>
      </c>
      <c r="I389" s="10">
        <v>427720</v>
      </c>
      <c r="J389" s="10">
        <v>5323900</v>
      </c>
      <c r="K389" s="11">
        <v>-42.233739999999997</v>
      </c>
      <c r="L389" s="11">
        <v>146.12403</v>
      </c>
      <c r="N389" s="8" t="s">
        <v>37</v>
      </c>
      <c r="P389" s="8">
        <v>1</v>
      </c>
    </row>
    <row r="390" spans="1:16" x14ac:dyDescent="0.15">
      <c r="A390" s="7" t="s">
        <v>605</v>
      </c>
      <c r="B390" s="9" t="str">
        <f>VLOOKUP(D390,[1]TASMaps!$H$4:$K$269,3,FALSE)</f>
        <v>TS06</v>
      </c>
      <c r="C390" s="9" t="str">
        <f>VLOOKUP(D390,[1]TASMaps!$H$4:$K$269,4,FALSE)</f>
        <v>Bathurst</v>
      </c>
      <c r="D390" s="9">
        <v>4420</v>
      </c>
      <c r="E390" s="9" t="s">
        <v>293</v>
      </c>
      <c r="F390" s="9" t="s">
        <v>30</v>
      </c>
      <c r="G390" s="9" t="s">
        <v>27</v>
      </c>
      <c r="H390" s="8" t="s">
        <v>20</v>
      </c>
      <c r="I390" s="10">
        <v>442430</v>
      </c>
      <c r="J390" s="10">
        <v>5205620</v>
      </c>
      <c r="K390" s="11">
        <v>-43.300049999999999</v>
      </c>
      <c r="L390" s="11">
        <v>146.29023000000001</v>
      </c>
      <c r="N390" s="8" t="s">
        <v>37</v>
      </c>
      <c r="O390" s="8">
        <v>2</v>
      </c>
      <c r="P390" s="8">
        <v>2</v>
      </c>
    </row>
    <row r="391" spans="1:16" x14ac:dyDescent="0.15">
      <c r="A391" s="7" t="s">
        <v>606</v>
      </c>
      <c r="B391" s="9" t="str">
        <f>VLOOKUP(D391,[1]TASMaps!$H$4:$K$269,3,FALSE)</f>
        <v>TL05</v>
      </c>
      <c r="C391" s="9" t="str">
        <f>VLOOKUP(D391,[1]TASMaps!$H$4:$K$269,4,FALSE)</f>
        <v>Murchison</v>
      </c>
      <c r="D391" s="9">
        <v>4037</v>
      </c>
      <c r="E391" s="9" t="s">
        <v>607</v>
      </c>
      <c r="F391" s="9" t="s">
        <v>30</v>
      </c>
      <c r="G391" s="9" t="s">
        <v>33</v>
      </c>
      <c r="H391" s="8" t="s">
        <v>20</v>
      </c>
      <c r="I391" s="10">
        <v>416600</v>
      </c>
      <c r="J391" s="10">
        <v>5378090</v>
      </c>
      <c r="K391" s="11">
        <v>-41.744630000000001</v>
      </c>
      <c r="L391" s="11">
        <v>145.99697</v>
      </c>
      <c r="N391" s="8" t="s">
        <v>37</v>
      </c>
      <c r="P391" s="8">
        <v>1</v>
      </c>
    </row>
    <row r="392" spans="1:16" x14ac:dyDescent="0.15">
      <c r="A392" s="7" t="s">
        <v>608</v>
      </c>
      <c r="B392" s="9" t="str">
        <f>VLOOKUP(D392,[1]TASMaps!$H$4:$K$269,3,FALSE)</f>
        <v>TR07</v>
      </c>
      <c r="C392" s="9" t="str">
        <f>VLOOKUP(D392,[1]TASMaps!$H$4:$K$269,4,FALSE)</f>
        <v>Hartz</v>
      </c>
      <c r="D392" s="9">
        <v>4821</v>
      </c>
      <c r="E392" s="9" t="s">
        <v>609</v>
      </c>
      <c r="F392" s="9" t="s">
        <v>23</v>
      </c>
      <c r="G392" s="9" t="s">
        <v>27</v>
      </c>
      <c r="H392" s="8" t="s">
        <v>20</v>
      </c>
      <c r="I392" s="10">
        <v>481160</v>
      </c>
      <c r="J392" s="10">
        <v>5211900</v>
      </c>
      <c r="K392" s="11">
        <v>-43.245469999999997</v>
      </c>
      <c r="L392" s="11">
        <v>146.76793000000001</v>
      </c>
      <c r="M392" s="8" t="s">
        <v>21</v>
      </c>
      <c r="N392" s="8">
        <v>2</v>
      </c>
      <c r="O392" s="8">
        <v>2</v>
      </c>
      <c r="P392" s="8">
        <v>2</v>
      </c>
    </row>
    <row r="393" spans="1:16" x14ac:dyDescent="0.15">
      <c r="A393" s="7" t="s">
        <v>610</v>
      </c>
      <c r="B393" s="9" t="str">
        <f>VLOOKUP(D393,[1]TASMaps!$H$4:$K$269,3,FALSE)</f>
        <v>TR07</v>
      </c>
      <c r="C393" s="9" t="str">
        <f>VLOOKUP(D393,[1]TASMaps!$H$4:$K$269,4,FALSE)</f>
        <v>Hartz</v>
      </c>
      <c r="D393" s="9">
        <v>4621</v>
      </c>
      <c r="E393" s="9" t="s">
        <v>26</v>
      </c>
      <c r="F393" s="9" t="s">
        <v>30</v>
      </c>
      <c r="G393" s="9" t="s">
        <v>27</v>
      </c>
      <c r="H393" s="8" t="s">
        <v>20</v>
      </c>
      <c r="I393" s="10">
        <v>479750</v>
      </c>
      <c r="J393" s="10">
        <v>5212450</v>
      </c>
      <c r="K393" s="11">
        <v>-43.240479999999998</v>
      </c>
      <c r="L393" s="11">
        <v>146.75058000000001</v>
      </c>
      <c r="N393" s="8" t="s">
        <v>37</v>
      </c>
      <c r="P393" s="8">
        <v>1</v>
      </c>
    </row>
    <row r="394" spans="1:16" x14ac:dyDescent="0.15">
      <c r="A394" s="7" t="s">
        <v>611</v>
      </c>
      <c r="B394" s="9" t="str">
        <f>VLOOKUP(D394,[1]TASMaps!$H$4:$K$269,3,FALSE)</f>
        <v>TD10</v>
      </c>
      <c r="C394" s="9" t="str">
        <f>VLOOKUP(D394,[1]TASMaps!$H$4:$K$269,4,FALSE)</f>
        <v>Babel</v>
      </c>
      <c r="D394" s="9">
        <v>5955</v>
      </c>
      <c r="E394" s="9" t="s">
        <v>164</v>
      </c>
      <c r="F394" s="9" t="s">
        <v>30</v>
      </c>
      <c r="G394" s="9" t="s">
        <v>151</v>
      </c>
      <c r="H394" s="8" t="s">
        <v>20</v>
      </c>
      <c r="I394" s="10">
        <v>592460</v>
      </c>
      <c r="J394" s="10">
        <v>5559110</v>
      </c>
      <c r="K394" s="11">
        <v>-40.113239999999998</v>
      </c>
      <c r="L394" s="11">
        <v>148.08496</v>
      </c>
      <c r="N394" s="8" t="s">
        <v>37</v>
      </c>
      <c r="P394" s="8">
        <v>1</v>
      </c>
    </row>
    <row r="395" spans="1:16" x14ac:dyDescent="0.15">
      <c r="A395" s="9" t="s">
        <v>612</v>
      </c>
      <c r="B395" s="9" t="str">
        <f>VLOOKUP(D395,[1]TASMaps!$H$4:$K$269,3,FALSE)</f>
        <v>TT06</v>
      </c>
      <c r="C395" s="9" t="str">
        <f>VLOOKUP(D395,[1]TASMaps!$H$4:$K$269,4,FALSE)</f>
        <v>South Coast</v>
      </c>
      <c r="D395" s="9">
        <v>4417</v>
      </c>
      <c r="E395" s="9" t="s">
        <v>613</v>
      </c>
      <c r="F395" s="9" t="s">
        <v>30</v>
      </c>
      <c r="G395" s="9" t="s">
        <v>27</v>
      </c>
      <c r="H395" s="8" t="s">
        <v>20</v>
      </c>
      <c r="I395" s="10">
        <v>456400</v>
      </c>
      <c r="J395" s="10">
        <v>5179810</v>
      </c>
      <c r="K395" s="11">
        <v>-43.533380000000001</v>
      </c>
      <c r="L395" s="11">
        <v>146.46038999999999</v>
      </c>
      <c r="N395" s="8" t="s">
        <v>37</v>
      </c>
      <c r="P395" s="8">
        <v>1</v>
      </c>
    </row>
    <row r="396" spans="1:16" x14ac:dyDescent="0.15">
      <c r="A396" s="7" t="s">
        <v>614</v>
      </c>
      <c r="B396" s="9" t="str">
        <f>VLOOKUP(D396,[1]TASMaps!$H$4:$K$269,3,FALSE)</f>
        <v>TR06</v>
      </c>
      <c r="C396" s="9" t="str">
        <f>VLOOKUP(D396,[1]TASMaps!$H$4:$K$269,4,FALSE)</f>
        <v>Western Arthur</v>
      </c>
      <c r="D396" s="9">
        <v>4222</v>
      </c>
      <c r="E396" s="9" t="s">
        <v>277</v>
      </c>
      <c r="F396" s="9" t="s">
        <v>30</v>
      </c>
      <c r="G396" s="9" t="s">
        <v>27</v>
      </c>
      <c r="H396" s="8" t="s">
        <v>20</v>
      </c>
      <c r="I396" s="10">
        <v>438800</v>
      </c>
      <c r="J396" s="10">
        <v>5224260</v>
      </c>
      <c r="K396" s="11">
        <v>-43.131929999999997</v>
      </c>
      <c r="L396" s="11">
        <v>146.24754999999999</v>
      </c>
      <c r="M396" s="8" t="s">
        <v>21</v>
      </c>
      <c r="N396" s="8">
        <v>3</v>
      </c>
      <c r="O396" s="8">
        <v>3</v>
      </c>
      <c r="P396" s="8">
        <v>3</v>
      </c>
    </row>
    <row r="397" spans="1:16" x14ac:dyDescent="0.15">
      <c r="A397" s="7" t="s">
        <v>615</v>
      </c>
      <c r="B397" s="9" t="str">
        <f>VLOOKUP(D397,[1]TASMaps!$H$4:$K$269,3,FALSE)</f>
        <v>TK03</v>
      </c>
      <c r="C397" s="9" t="str">
        <f>VLOOKUP(D397,[1]TASMaps!$H$4:$K$269,4,FALSE)</f>
        <v>Norfolk Range</v>
      </c>
      <c r="D397" s="9">
        <v>3241</v>
      </c>
      <c r="E397" s="9" t="s">
        <v>216</v>
      </c>
      <c r="F397" s="9" t="s">
        <v>30</v>
      </c>
      <c r="G397" s="9" t="s">
        <v>107</v>
      </c>
      <c r="H397" s="8" t="s">
        <v>20</v>
      </c>
      <c r="I397" s="10">
        <v>326820</v>
      </c>
      <c r="J397" s="10">
        <v>5418860</v>
      </c>
      <c r="K397" s="11">
        <v>-41.363140000000001</v>
      </c>
      <c r="L397" s="11">
        <v>144.92947000000001</v>
      </c>
      <c r="N397" s="8" t="s">
        <v>37</v>
      </c>
      <c r="O397" s="8">
        <v>1</v>
      </c>
      <c r="P397" s="8">
        <v>1</v>
      </c>
    </row>
    <row r="398" spans="1:16" x14ac:dyDescent="0.15">
      <c r="A398" s="7" t="s">
        <v>616</v>
      </c>
      <c r="B398" s="9" t="str">
        <f>VLOOKUP(D398,[1]TASMaps!$H$4:$K$269,3,FALSE)</f>
        <v>TS05</v>
      </c>
      <c r="C398" s="9" t="str">
        <f>VLOOKUP(D398,[1]TASMaps!$H$4:$K$269,4,FALSE)</f>
        <v>Port Davey</v>
      </c>
      <c r="D398" s="9">
        <v>4022</v>
      </c>
      <c r="E398" s="9" t="s">
        <v>289</v>
      </c>
      <c r="F398" s="9" t="s">
        <v>30</v>
      </c>
      <c r="G398" s="9" t="s">
        <v>24</v>
      </c>
      <c r="H398" s="8" t="s">
        <v>20</v>
      </c>
      <c r="I398" s="10">
        <v>404330</v>
      </c>
      <c r="J398" s="10">
        <v>5220740</v>
      </c>
      <c r="K398" s="11">
        <v>-43.160040000000002</v>
      </c>
      <c r="L398" s="11">
        <v>145.82320000000001</v>
      </c>
      <c r="N398" s="8" t="s">
        <v>37</v>
      </c>
      <c r="O398" s="8">
        <v>2</v>
      </c>
      <c r="P398" s="8">
        <v>2</v>
      </c>
    </row>
    <row r="399" spans="1:16" x14ac:dyDescent="0.15">
      <c r="A399" s="9" t="s">
        <v>617</v>
      </c>
      <c r="B399" s="9" t="str">
        <f>VLOOKUP(D399,[1]TASMaps!$H$4:$K$269,3,FALSE)</f>
        <v>TK05</v>
      </c>
      <c r="C399" s="9" t="str">
        <f>VLOOKUP(D399,[1]TASMaps!$H$4:$K$269,4,FALSE)</f>
        <v>Black Bluff</v>
      </c>
      <c r="D399" s="9">
        <v>4039</v>
      </c>
      <c r="E399" s="9" t="s">
        <v>99</v>
      </c>
      <c r="F399" s="9" t="s">
        <v>23</v>
      </c>
      <c r="G399" s="9" t="s">
        <v>142</v>
      </c>
      <c r="H399" s="8" t="s">
        <v>20</v>
      </c>
      <c r="I399" s="10">
        <v>406790</v>
      </c>
      <c r="J399" s="10">
        <v>5393380</v>
      </c>
      <c r="K399" s="11">
        <v>-41.605849999999997</v>
      </c>
      <c r="L399" s="11">
        <v>145.88140000000001</v>
      </c>
      <c r="N399" s="8" t="s">
        <v>37</v>
      </c>
      <c r="P399" s="8">
        <v>1</v>
      </c>
    </row>
    <row r="400" spans="1:16" x14ac:dyDescent="0.15">
      <c r="A400" s="7" t="s">
        <v>618</v>
      </c>
      <c r="B400" s="9" t="str">
        <f>VLOOKUP(D400,[1]TASMaps!$H$4:$K$269,3,FALSE)</f>
        <v>TL04</v>
      </c>
      <c r="C400" s="9" t="str">
        <f>VLOOKUP(D400,[1]TASMaps!$H$4:$K$269,4,FALSE)</f>
        <v>Lake Pieman</v>
      </c>
      <c r="D400" s="9">
        <v>3436</v>
      </c>
      <c r="E400" s="9" t="s">
        <v>41</v>
      </c>
      <c r="F400" s="9" t="s">
        <v>30</v>
      </c>
      <c r="G400" s="9" t="s">
        <v>24</v>
      </c>
      <c r="H400" s="8" t="s">
        <v>20</v>
      </c>
      <c r="I400" s="10">
        <v>348550</v>
      </c>
      <c r="J400" s="10">
        <v>5364630</v>
      </c>
      <c r="K400" s="11">
        <v>-41.855739999999997</v>
      </c>
      <c r="L400" s="11">
        <v>145.17543000000001</v>
      </c>
      <c r="N400" s="8" t="s">
        <v>37</v>
      </c>
      <c r="O400" s="8">
        <v>2</v>
      </c>
      <c r="P400" s="8">
        <v>2</v>
      </c>
    </row>
    <row r="401" spans="1:16" x14ac:dyDescent="0.15">
      <c r="A401" s="9" t="s">
        <v>619</v>
      </c>
      <c r="B401" s="9" t="str">
        <f>VLOOKUP(D401,[1]TASMaps!$H$4:$K$269,3,FALSE)</f>
        <v>TR08</v>
      </c>
      <c r="C401" s="9" t="str">
        <f>VLOOKUP(D401,[1]TASMaps!$H$4:$K$269,4,FALSE)</f>
        <v>Channel</v>
      </c>
      <c r="D401" s="9">
        <v>5021</v>
      </c>
      <c r="E401" s="9" t="s">
        <v>403</v>
      </c>
      <c r="F401" s="9" t="s">
        <v>30</v>
      </c>
      <c r="G401" s="9" t="s">
        <v>27</v>
      </c>
      <c r="H401" s="8" t="s">
        <v>20</v>
      </c>
      <c r="I401" s="10">
        <v>514730</v>
      </c>
      <c r="J401" s="10">
        <v>5219850</v>
      </c>
      <c r="K401" s="11">
        <v>-43.173969999999997</v>
      </c>
      <c r="L401" s="11">
        <v>147.18123</v>
      </c>
      <c r="N401" s="8" t="s">
        <v>37</v>
      </c>
      <c r="P401" s="8">
        <v>1</v>
      </c>
    </row>
    <row r="402" spans="1:16" x14ac:dyDescent="0.15">
      <c r="A402" s="14" t="s">
        <v>620</v>
      </c>
      <c r="B402" s="9" t="str">
        <f>VLOOKUP(D402,[1]TASMaps!$H$4:$K$269,3,FALSE)</f>
        <v>TK09</v>
      </c>
      <c r="C402" s="9" t="str">
        <f>VLOOKUP(D402,[1]TASMaps!$H$4:$K$269,4,FALSE)</f>
        <v>Ben Lomond</v>
      </c>
      <c r="D402" s="9">
        <v>5439</v>
      </c>
      <c r="E402" s="9" t="s">
        <v>95</v>
      </c>
      <c r="F402" s="9" t="s">
        <v>30</v>
      </c>
      <c r="G402" s="9" t="s">
        <v>78</v>
      </c>
      <c r="H402" s="8" t="s">
        <v>20</v>
      </c>
      <c r="I402" s="10">
        <v>554560</v>
      </c>
      <c r="J402" s="10">
        <v>5393240</v>
      </c>
      <c r="K402" s="11">
        <v>-41.610689999999998</v>
      </c>
      <c r="L402" s="11">
        <v>147.65482</v>
      </c>
      <c r="N402" s="8" t="s">
        <v>37</v>
      </c>
      <c r="P402" s="8">
        <v>1</v>
      </c>
    </row>
    <row r="403" spans="1:16" x14ac:dyDescent="0.15">
      <c r="A403" s="7" t="s">
        <v>621</v>
      </c>
      <c r="B403" s="9" t="str">
        <f>VLOOKUP(D403,[1]TASMaps!$H$4:$K$269,3,FALSE)</f>
        <v>TQ06</v>
      </c>
      <c r="C403" s="9" t="str">
        <f>VLOOKUP(D403,[1]TASMaps!$H$4:$K$269,4,FALSE)</f>
        <v>Lake Pedder</v>
      </c>
      <c r="D403" s="9">
        <v>4225</v>
      </c>
      <c r="E403" s="9" t="s">
        <v>366</v>
      </c>
      <c r="F403" s="9" t="s">
        <v>30</v>
      </c>
      <c r="G403" s="9" t="s">
        <v>19</v>
      </c>
      <c r="H403" s="8" t="s">
        <v>20</v>
      </c>
      <c r="I403" s="10">
        <v>430570</v>
      </c>
      <c r="J403" s="10">
        <v>5251230</v>
      </c>
      <c r="K403" s="11">
        <v>-42.888379999999998</v>
      </c>
      <c r="L403" s="11">
        <v>146.14973000000001</v>
      </c>
      <c r="N403" s="8" t="s">
        <v>37</v>
      </c>
      <c r="O403" s="8">
        <v>1</v>
      </c>
      <c r="P403" s="8">
        <v>1</v>
      </c>
    </row>
    <row r="404" spans="1:16" x14ac:dyDescent="0.15">
      <c r="A404" s="7" t="s">
        <v>622</v>
      </c>
      <c r="B404" s="9" t="str">
        <f>VLOOKUP(D404,[1]TASMaps!$H$4:$K$269,3,FALSE)</f>
        <v>TK03</v>
      </c>
      <c r="C404" s="9" t="str">
        <f>VLOOKUP(D404,[1]TASMaps!$H$4:$K$269,4,FALSE)</f>
        <v>Norfolk Range</v>
      </c>
      <c r="D404" s="9">
        <v>3240</v>
      </c>
      <c r="E404" s="9" t="s">
        <v>477</v>
      </c>
      <c r="F404" s="9" t="s">
        <v>23</v>
      </c>
      <c r="G404" s="9" t="s">
        <v>107</v>
      </c>
      <c r="H404" s="8" t="s">
        <v>20</v>
      </c>
      <c r="I404" s="10">
        <v>330310</v>
      </c>
      <c r="J404" s="10">
        <v>5408880</v>
      </c>
      <c r="K404" s="11">
        <v>-41.453719999999997</v>
      </c>
      <c r="L404" s="11">
        <v>144.96838</v>
      </c>
      <c r="N404" s="8" t="s">
        <v>37</v>
      </c>
      <c r="O404" s="8">
        <v>1</v>
      </c>
      <c r="P404" s="8">
        <v>1</v>
      </c>
    </row>
    <row r="405" spans="1:16" x14ac:dyDescent="0.15">
      <c r="A405" s="9" t="s">
        <v>623</v>
      </c>
      <c r="B405" s="9" t="str">
        <f>VLOOKUP(D405,[1]TASMaps!$H$4:$K$269,3,FALSE)</f>
        <v>TJ09</v>
      </c>
      <c r="C405" s="9" t="str">
        <f>VLOOKUP(D405,[1]TASMaps!$H$4:$K$269,4,FALSE)</f>
        <v>Legerwood</v>
      </c>
      <c r="D405" s="9">
        <v>5443</v>
      </c>
      <c r="E405" s="9" t="s">
        <v>393</v>
      </c>
      <c r="F405" s="9" t="s">
        <v>30</v>
      </c>
      <c r="G405" s="9" t="s">
        <v>210</v>
      </c>
      <c r="H405" s="8" t="s">
        <v>20</v>
      </c>
      <c r="I405" s="10">
        <v>543970</v>
      </c>
      <c r="J405" s="10">
        <v>5431260</v>
      </c>
      <c r="K405" s="11">
        <v>-41.268889999999999</v>
      </c>
      <c r="L405" s="11">
        <v>147.52495999999999</v>
      </c>
      <c r="N405" s="8" t="s">
        <v>37</v>
      </c>
      <c r="P405" s="8">
        <v>1</v>
      </c>
    </row>
    <row r="406" spans="1:16" x14ac:dyDescent="0.15">
      <c r="A406" s="7" t="s">
        <v>624</v>
      </c>
      <c r="B406" s="9" t="str">
        <f>VLOOKUP(D406,[1]TASMaps!$H$4:$K$269,3,FALSE)</f>
        <v>TL10</v>
      </c>
      <c r="C406" s="9" t="str">
        <f>VLOOKUP(D406,[1]TASMaps!$H$4:$K$269,4,FALSE)</f>
        <v>Douglas River</v>
      </c>
      <c r="D406" s="9">
        <v>5836</v>
      </c>
      <c r="E406" s="9" t="s">
        <v>65</v>
      </c>
      <c r="F406" s="9" t="s">
        <v>30</v>
      </c>
      <c r="G406" s="9" t="s">
        <v>78</v>
      </c>
      <c r="H406" s="8" t="s">
        <v>20</v>
      </c>
      <c r="I406" s="10">
        <v>582580</v>
      </c>
      <c r="J406" s="10">
        <v>5367570</v>
      </c>
      <c r="K406" s="11">
        <v>-41.839460000000003</v>
      </c>
      <c r="L406" s="11">
        <v>147.99463</v>
      </c>
      <c r="N406" s="8" t="s">
        <v>37</v>
      </c>
      <c r="O406" s="8">
        <v>1</v>
      </c>
      <c r="P406" s="8">
        <v>1</v>
      </c>
    </row>
    <row r="407" spans="1:16" x14ac:dyDescent="0.15">
      <c r="A407" s="9" t="s">
        <v>625</v>
      </c>
      <c r="B407" s="9" t="str">
        <f>VLOOKUP(D407,[1]TASMaps!$H$4:$K$269,3,FALSE)</f>
        <v>TM08</v>
      </c>
      <c r="C407" s="9" t="str">
        <f>VLOOKUP(D407,[1]TASMaps!$H$4:$K$269,4,FALSE)</f>
        <v>Dogs Head Tier</v>
      </c>
      <c r="D407" s="9">
        <v>5035</v>
      </c>
      <c r="E407" s="9" t="s">
        <v>626</v>
      </c>
      <c r="F407" s="9" t="s">
        <v>135</v>
      </c>
      <c r="G407" s="9" t="s">
        <v>36</v>
      </c>
      <c r="H407" s="8" t="s">
        <v>20</v>
      </c>
      <c r="I407" s="10">
        <v>511600</v>
      </c>
      <c r="J407" s="10">
        <v>5356980</v>
      </c>
      <c r="K407" s="11">
        <v>-41.939059999999998</v>
      </c>
      <c r="L407" s="11">
        <v>147.13992999999999</v>
      </c>
      <c r="N407" s="8" t="s">
        <v>37</v>
      </c>
      <c r="P407" s="8">
        <v>1</v>
      </c>
    </row>
    <row r="408" spans="1:16" x14ac:dyDescent="0.15">
      <c r="A408" s="9" t="s">
        <v>627</v>
      </c>
      <c r="B408" s="9" t="str">
        <f>VLOOKUP(D408,[1]TASMaps!$H$4:$K$269,3,FALSE)</f>
        <v>TQ06</v>
      </c>
      <c r="C408" s="9" t="str">
        <f>VLOOKUP(D408,[1]TASMaps!$H$4:$K$269,4,FALSE)</f>
        <v>Lake Pedder</v>
      </c>
      <c r="D408" s="9">
        <v>4225</v>
      </c>
      <c r="E408" s="9" t="s">
        <v>366</v>
      </c>
      <c r="F408" s="9" t="s">
        <v>30</v>
      </c>
      <c r="G408" s="9" t="s">
        <v>19</v>
      </c>
      <c r="H408" s="8" t="s">
        <v>20</v>
      </c>
      <c r="I408" s="10">
        <v>428890</v>
      </c>
      <c r="J408" s="10">
        <v>5258810</v>
      </c>
      <c r="K408" s="11">
        <v>-42.819969999999998</v>
      </c>
      <c r="L408" s="11">
        <v>146.13011</v>
      </c>
      <c r="N408" s="8" t="s">
        <v>37</v>
      </c>
      <c r="P408" s="8">
        <v>1</v>
      </c>
    </row>
    <row r="409" spans="1:16" x14ac:dyDescent="0.15">
      <c r="A409" s="7" t="s">
        <v>628</v>
      </c>
      <c r="B409" s="9" t="str">
        <f>VLOOKUP(D409,[1]TASMaps!$H$4:$K$269,3,FALSE)</f>
        <v>TR08</v>
      </c>
      <c r="C409" s="9" t="str">
        <f>VLOOKUP(D409,[1]TASMaps!$H$4:$K$269,4,FALSE)</f>
        <v>Channel</v>
      </c>
      <c r="D409" s="9">
        <v>5023</v>
      </c>
      <c r="E409" s="9" t="s">
        <v>629</v>
      </c>
      <c r="F409" s="9" t="s">
        <v>30</v>
      </c>
      <c r="G409" s="9" t="s">
        <v>110</v>
      </c>
      <c r="H409" s="8" t="s">
        <v>20</v>
      </c>
      <c r="I409" s="10">
        <v>511420</v>
      </c>
      <c r="J409" s="10">
        <v>5238440</v>
      </c>
      <c r="K409" s="11">
        <v>-43.006619999999998</v>
      </c>
      <c r="L409" s="11">
        <v>147.14012</v>
      </c>
      <c r="N409" s="8" t="s">
        <v>37</v>
      </c>
      <c r="P409" s="8">
        <v>1</v>
      </c>
    </row>
    <row r="410" spans="1:16" x14ac:dyDescent="0.15">
      <c r="A410" s="7" t="s">
        <v>630</v>
      </c>
      <c r="B410" s="9" t="str">
        <f>VLOOKUP(D410,[1]TASMaps!$H$4:$K$269,3,FALSE)</f>
        <v>TR06</v>
      </c>
      <c r="C410" s="9" t="str">
        <f>VLOOKUP(D410,[1]TASMaps!$H$4:$K$269,4,FALSE)</f>
        <v>Western Arthur</v>
      </c>
      <c r="D410" s="9">
        <v>4222</v>
      </c>
      <c r="E410" s="9" t="s">
        <v>277</v>
      </c>
      <c r="F410" s="9" t="s">
        <v>30</v>
      </c>
      <c r="G410" s="9" t="s">
        <v>27</v>
      </c>
      <c r="H410" s="8" t="s">
        <v>20</v>
      </c>
      <c r="I410" s="10">
        <v>437380</v>
      </c>
      <c r="J410" s="10">
        <v>5225740</v>
      </c>
      <c r="K410" s="11">
        <v>-43.118479999999998</v>
      </c>
      <c r="L410" s="11">
        <v>146.23025999999999</v>
      </c>
      <c r="N410" s="8" t="s">
        <v>37</v>
      </c>
      <c r="O410" s="8">
        <v>2</v>
      </c>
      <c r="P410" s="8">
        <v>2</v>
      </c>
    </row>
    <row r="411" spans="1:16" x14ac:dyDescent="0.15">
      <c r="A411" s="9" t="s">
        <v>631</v>
      </c>
      <c r="B411" s="9" t="str">
        <f>VLOOKUP(D411,[1]TASMaps!$H$4:$K$269,3,FALSE)</f>
        <v>TH10</v>
      </c>
      <c r="C411" s="9" t="str">
        <f>VLOOKUP(D411,[1]TASMaps!$H$4:$K$269,4,FALSE)</f>
        <v>Mount William</v>
      </c>
      <c r="D411" s="9">
        <v>5846</v>
      </c>
      <c r="E411" s="9" t="s">
        <v>632</v>
      </c>
      <c r="F411" s="9" t="s">
        <v>30</v>
      </c>
      <c r="G411" s="9" t="s">
        <v>210</v>
      </c>
      <c r="H411" s="8" t="s">
        <v>20</v>
      </c>
      <c r="I411" s="10">
        <v>581450</v>
      </c>
      <c r="J411" s="10">
        <v>5463150</v>
      </c>
      <c r="K411" s="11">
        <v>-40.978749999999998</v>
      </c>
      <c r="L411" s="11">
        <v>147.96815000000001</v>
      </c>
      <c r="N411" s="8" t="s">
        <v>37</v>
      </c>
      <c r="P411" s="8">
        <v>1</v>
      </c>
    </row>
    <row r="412" spans="1:16" x14ac:dyDescent="0.15">
      <c r="A412" s="7" t="s">
        <v>633</v>
      </c>
      <c r="B412" s="9" t="str">
        <f>VLOOKUP(D412,[1]TASMaps!$H$4:$K$269,3,FALSE)</f>
        <v>TM05</v>
      </c>
      <c r="C412" s="9" t="str">
        <f>VLOOKUP(D412,[1]TASMaps!$H$4:$K$269,4,FALSE)</f>
        <v>Eldon</v>
      </c>
      <c r="D412" s="9">
        <v>4035</v>
      </c>
      <c r="E412" s="9" t="s">
        <v>291</v>
      </c>
      <c r="F412" s="9" t="s">
        <v>30</v>
      </c>
      <c r="G412" s="9" t="s">
        <v>24</v>
      </c>
      <c r="H412" s="8" t="s">
        <v>20</v>
      </c>
      <c r="I412" s="10">
        <v>411160</v>
      </c>
      <c r="J412" s="10">
        <v>5350940</v>
      </c>
      <c r="K412" s="11">
        <v>-41.98854</v>
      </c>
      <c r="L412" s="11">
        <v>145.92748</v>
      </c>
      <c r="M412" s="8" t="s">
        <v>21</v>
      </c>
      <c r="N412" s="8">
        <v>5</v>
      </c>
      <c r="O412" s="8">
        <v>5</v>
      </c>
      <c r="P412" s="8">
        <v>5</v>
      </c>
    </row>
    <row r="413" spans="1:16" x14ac:dyDescent="0.15">
      <c r="A413" s="7" t="s">
        <v>634</v>
      </c>
      <c r="B413" s="9" t="str">
        <f>VLOOKUP(D413,[1]TASMaps!$H$4:$K$269,3,FALSE)</f>
        <v>TP06</v>
      </c>
      <c r="C413" s="9" t="str">
        <f>VLOOKUP(D413,[1]TASMaps!$H$4:$K$269,4,FALSE)</f>
        <v>Denison Range</v>
      </c>
      <c r="D413" s="9">
        <v>4229</v>
      </c>
      <c r="E413" s="9" t="s">
        <v>128</v>
      </c>
      <c r="F413" s="9" t="s">
        <v>23</v>
      </c>
      <c r="G413" s="9" t="s">
        <v>36</v>
      </c>
      <c r="H413" s="8" t="s">
        <v>20</v>
      </c>
      <c r="I413" s="10">
        <v>429018</v>
      </c>
      <c r="J413" s="10">
        <v>5296880</v>
      </c>
      <c r="K413" s="11">
        <v>-42.477179999999997</v>
      </c>
      <c r="L413" s="11">
        <v>146.13642999999999</v>
      </c>
      <c r="N413" s="8" t="s">
        <v>37</v>
      </c>
      <c r="P413" s="8">
        <v>2</v>
      </c>
    </row>
    <row r="414" spans="1:16" x14ac:dyDescent="0.15">
      <c r="A414" s="7" t="s">
        <v>635</v>
      </c>
      <c r="B414" s="9" t="str">
        <f>VLOOKUP(D414,[1]TASMaps!$H$4:$K$269,3,FALSE)</f>
        <v>TS06</v>
      </c>
      <c r="C414" s="9" t="str">
        <f>VLOOKUP(D414,[1]TASMaps!$H$4:$K$269,4,FALSE)</f>
        <v>Bathurst</v>
      </c>
      <c r="D414" s="9">
        <v>4420</v>
      </c>
      <c r="E414" s="9" t="s">
        <v>293</v>
      </c>
      <c r="F414" s="9" t="s">
        <v>30</v>
      </c>
      <c r="G414" s="9" t="s">
        <v>27</v>
      </c>
      <c r="H414" s="8" t="s">
        <v>20</v>
      </c>
      <c r="I414" s="10">
        <v>443140</v>
      </c>
      <c r="J414" s="10">
        <v>5201490</v>
      </c>
      <c r="K414" s="11">
        <v>-43.337290000000003</v>
      </c>
      <c r="L414" s="11">
        <v>146.29855000000001</v>
      </c>
      <c r="N414" s="8" t="s">
        <v>37</v>
      </c>
      <c r="O414" s="8">
        <v>2</v>
      </c>
      <c r="P414" s="8">
        <v>2</v>
      </c>
    </row>
    <row r="415" spans="1:16" x14ac:dyDescent="0.15">
      <c r="A415" s="7" t="s">
        <v>636</v>
      </c>
      <c r="B415" s="9" t="str">
        <f>VLOOKUP(D415,[1]TASMaps!$H$4:$K$269,3,FALSE)</f>
        <v>TP06</v>
      </c>
      <c r="C415" s="9" t="str">
        <f>VLOOKUP(D415,[1]TASMaps!$H$4:$K$269,4,FALSE)</f>
        <v>Denison Range</v>
      </c>
      <c r="D415" s="9">
        <v>4229</v>
      </c>
      <c r="E415" s="9" t="s">
        <v>128</v>
      </c>
      <c r="F415" s="9" t="s">
        <v>23</v>
      </c>
      <c r="G415" s="9" t="s">
        <v>19</v>
      </c>
      <c r="H415" s="8" t="s">
        <v>20</v>
      </c>
      <c r="I415" s="10">
        <v>428360</v>
      </c>
      <c r="J415" s="10">
        <v>5293560</v>
      </c>
      <c r="K415" s="11">
        <v>-42.507010000000001</v>
      </c>
      <c r="L415" s="11">
        <v>146.12800999999999</v>
      </c>
      <c r="N415" s="8" t="s">
        <v>37</v>
      </c>
      <c r="P415" s="8">
        <v>2</v>
      </c>
    </row>
    <row r="416" spans="1:16" x14ac:dyDescent="0.15">
      <c r="A416" s="9" t="s">
        <v>637</v>
      </c>
      <c r="B416" s="9" t="str">
        <f>VLOOKUP(D416,[1]TASMaps!$H$4:$K$269,3,FALSE)</f>
        <v>TL05</v>
      </c>
      <c r="C416" s="9" t="str">
        <f>VLOOKUP(D416,[1]TASMaps!$H$4:$K$269,4,FALSE)</f>
        <v>Murchison</v>
      </c>
      <c r="D416" s="9">
        <v>3837</v>
      </c>
      <c r="E416" s="9" t="s">
        <v>194</v>
      </c>
      <c r="F416" s="9" t="s">
        <v>30</v>
      </c>
      <c r="G416" s="9" t="s">
        <v>24</v>
      </c>
      <c r="H416" s="8" t="s">
        <v>20</v>
      </c>
      <c r="I416" s="10">
        <v>393030</v>
      </c>
      <c r="J416" s="10">
        <v>5378510</v>
      </c>
      <c r="K416" s="11">
        <v>-41.738030000000002</v>
      </c>
      <c r="L416" s="11">
        <v>145.71364</v>
      </c>
      <c r="N416" s="8" t="s">
        <v>37</v>
      </c>
      <c r="P416" s="8">
        <v>1</v>
      </c>
    </row>
    <row r="417" spans="1:16" x14ac:dyDescent="0.15">
      <c r="A417" s="7" t="s">
        <v>638</v>
      </c>
      <c r="B417" s="9" t="str">
        <f>VLOOKUP(D417,[1]TASMaps!$H$4:$K$269,3,FALSE)</f>
        <v>TS07</v>
      </c>
      <c r="C417" s="9" t="str">
        <f>VLOOKUP(D417,[1]TASMaps!$H$4:$K$269,4,FALSE)</f>
        <v>Adamsons</v>
      </c>
      <c r="D417" s="9">
        <v>4818</v>
      </c>
      <c r="E417" s="9" t="s">
        <v>639</v>
      </c>
      <c r="F417" s="9" t="s">
        <v>30</v>
      </c>
      <c r="G417" s="9" t="s">
        <v>27</v>
      </c>
      <c r="H417" s="8" t="s">
        <v>20</v>
      </c>
      <c r="I417" s="10">
        <v>481180</v>
      </c>
      <c r="J417" s="10">
        <v>5184580</v>
      </c>
      <c r="K417" s="11">
        <v>-43.49147</v>
      </c>
      <c r="L417" s="11">
        <v>146.76723999999999</v>
      </c>
      <c r="N417" s="8" t="s">
        <v>37</v>
      </c>
      <c r="O417" s="8">
        <v>2</v>
      </c>
      <c r="P417" s="8">
        <v>2</v>
      </c>
    </row>
    <row r="418" spans="1:16" x14ac:dyDescent="0.15">
      <c r="A418" s="7" t="s">
        <v>640</v>
      </c>
      <c r="B418" s="9" t="str">
        <f>VLOOKUP(D418,[1]TASMaps!$H$4:$K$269,3,FALSE)</f>
        <v>TM06</v>
      </c>
      <c r="C418" s="9" t="str">
        <f>VLOOKUP(D418,[1]TASMaps!$H$4:$K$269,4,FALSE)</f>
        <v>St Clair</v>
      </c>
      <c r="D418" s="9">
        <v>4233</v>
      </c>
      <c r="E418" s="9" t="s">
        <v>134</v>
      </c>
      <c r="F418" s="9" t="s">
        <v>23</v>
      </c>
      <c r="G418" s="9" t="s">
        <v>36</v>
      </c>
      <c r="H418" s="8" t="s">
        <v>20</v>
      </c>
      <c r="I418" s="10">
        <v>423300</v>
      </c>
      <c r="J418" s="10">
        <v>5333750</v>
      </c>
      <c r="K418" s="11">
        <v>-42.144620000000003</v>
      </c>
      <c r="L418" s="11">
        <v>146.07176999999999</v>
      </c>
      <c r="M418" s="8" t="s">
        <v>21</v>
      </c>
      <c r="N418" s="8" t="s">
        <v>37</v>
      </c>
      <c r="P418" s="8">
        <v>2</v>
      </c>
    </row>
    <row r="419" spans="1:16" x14ac:dyDescent="0.15">
      <c r="A419" s="7" t="s">
        <v>641</v>
      </c>
      <c r="B419" s="9" t="str">
        <f>VLOOKUP(D419,[1]TASMaps!$H$4:$K$269,3,FALSE)</f>
        <v>TP09</v>
      </c>
      <c r="C419" s="9" t="str">
        <f>VLOOKUP(D419,[1]TASMaps!$H$4:$K$269,4,FALSE)</f>
        <v>Prosser</v>
      </c>
      <c r="D419" s="9">
        <v>5429</v>
      </c>
      <c r="E419" s="9" t="s">
        <v>457</v>
      </c>
      <c r="F419" s="9" t="s">
        <v>30</v>
      </c>
      <c r="G419" s="9" t="s">
        <v>59</v>
      </c>
      <c r="H419" s="8" t="s">
        <v>20</v>
      </c>
      <c r="I419" s="10">
        <v>548555</v>
      </c>
      <c r="J419" s="10">
        <v>5294090</v>
      </c>
      <c r="K419" s="11">
        <v>-42.50403</v>
      </c>
      <c r="L419" s="11">
        <v>147.59097</v>
      </c>
      <c r="N419" s="8" t="s">
        <v>37</v>
      </c>
      <c r="O419" s="8">
        <v>1</v>
      </c>
      <c r="P419" s="8">
        <v>1</v>
      </c>
    </row>
    <row r="420" spans="1:16" x14ac:dyDescent="0.15">
      <c r="A420" s="7" t="s">
        <v>642</v>
      </c>
      <c r="B420" s="9" t="str">
        <f>VLOOKUP(D420,[1]TASMaps!$H$4:$K$269,3,FALSE)</f>
        <v>TN06</v>
      </c>
      <c r="C420" s="9" t="str">
        <f>VLOOKUP(D420,[1]TASMaps!$H$4:$K$269,4,FALSE)</f>
        <v>King William</v>
      </c>
      <c r="D420" s="9">
        <v>4231</v>
      </c>
      <c r="E420" s="9" t="s">
        <v>361</v>
      </c>
      <c r="F420" s="9" t="s">
        <v>30</v>
      </c>
      <c r="G420" s="9" t="s">
        <v>36</v>
      </c>
      <c r="H420" s="8" t="s">
        <v>20</v>
      </c>
      <c r="I420" s="10">
        <v>438080</v>
      </c>
      <c r="J420" s="10">
        <v>5315465</v>
      </c>
      <c r="K420" s="11">
        <v>-42.310589999999998</v>
      </c>
      <c r="L420" s="11">
        <v>146.24867</v>
      </c>
      <c r="M420" s="8" t="s">
        <v>21</v>
      </c>
      <c r="N420" s="8">
        <v>1</v>
      </c>
      <c r="O420" s="8">
        <v>1</v>
      </c>
      <c r="P420" s="8">
        <v>2</v>
      </c>
    </row>
    <row r="421" spans="1:16" x14ac:dyDescent="0.15">
      <c r="A421" s="9" t="s">
        <v>643</v>
      </c>
      <c r="B421" s="9" t="str">
        <f>VLOOKUP(D421,[1]TASMaps!$H$4:$K$269,3,FALSE)</f>
        <v>TJ09</v>
      </c>
      <c r="C421" s="9" t="str">
        <f>VLOOKUP(D421,[1]TASMaps!$H$4:$K$269,4,FALSE)</f>
        <v>Legerwood</v>
      </c>
      <c r="D421" s="9">
        <v>5643</v>
      </c>
      <c r="E421" s="9" t="s">
        <v>644</v>
      </c>
      <c r="F421" s="9" t="s">
        <v>558</v>
      </c>
      <c r="G421" s="9" t="s">
        <v>44</v>
      </c>
      <c r="H421" s="8" t="s">
        <v>20</v>
      </c>
      <c r="I421" s="10">
        <v>579400</v>
      </c>
      <c r="J421" s="10">
        <v>5437750</v>
      </c>
      <c r="K421" s="11">
        <v>-41.207729999999998</v>
      </c>
      <c r="L421" s="11">
        <v>147.94707</v>
      </c>
      <c r="N421" s="8" t="s">
        <v>37</v>
      </c>
      <c r="P421" s="8">
        <v>1</v>
      </c>
    </row>
    <row r="422" spans="1:16" x14ac:dyDescent="0.15">
      <c r="A422" s="9" t="s">
        <v>645</v>
      </c>
      <c r="B422" s="9" t="str">
        <f>VLOOKUP(D422,[1]TASMaps!$H$4:$K$269,3,FALSE)</f>
        <v>TL09</v>
      </c>
      <c r="C422" s="9" t="str">
        <f>VLOOKUP(D422,[1]TASMaps!$H$4:$K$269,4,FALSE)</f>
        <v>Avoca</v>
      </c>
      <c r="D422" s="9">
        <v>5638</v>
      </c>
      <c r="E422" s="9" t="s">
        <v>646</v>
      </c>
      <c r="F422" s="9" t="s">
        <v>18</v>
      </c>
      <c r="G422" s="9" t="s">
        <v>44</v>
      </c>
      <c r="H422" s="8" t="s">
        <v>20</v>
      </c>
      <c r="I422" s="10">
        <v>578800</v>
      </c>
      <c r="J422" s="10">
        <v>5385370</v>
      </c>
      <c r="K422" s="11">
        <v>-41.679540000000003</v>
      </c>
      <c r="L422" s="11">
        <v>147.94675000000001</v>
      </c>
      <c r="N422" s="8" t="s">
        <v>37</v>
      </c>
      <c r="P422" s="8">
        <v>1</v>
      </c>
    </row>
    <row r="423" spans="1:16" x14ac:dyDescent="0.15">
      <c r="A423" s="7" t="s">
        <v>647</v>
      </c>
      <c r="B423" s="9" t="str">
        <f>VLOOKUP(D423,[1]TASMaps!$H$4:$K$269,3,FALSE)</f>
        <v>TK03</v>
      </c>
      <c r="C423" s="9" t="str">
        <f>VLOOKUP(D423,[1]TASMaps!$H$4:$K$269,4,FALSE)</f>
        <v>Norfolk Range</v>
      </c>
      <c r="D423" s="9">
        <v>3241</v>
      </c>
      <c r="E423" s="9" t="s">
        <v>216</v>
      </c>
      <c r="F423" s="9" t="s">
        <v>30</v>
      </c>
      <c r="G423" s="9" t="s">
        <v>107</v>
      </c>
      <c r="H423" s="8" t="s">
        <v>20</v>
      </c>
      <c r="I423" s="10">
        <v>331260</v>
      </c>
      <c r="J423" s="10">
        <v>5412230</v>
      </c>
      <c r="K423" s="11">
        <v>-41.423760000000001</v>
      </c>
      <c r="L423" s="11">
        <v>144.98068000000001</v>
      </c>
      <c r="N423" s="8" t="s">
        <v>37</v>
      </c>
      <c r="P423" s="8">
        <v>1</v>
      </c>
    </row>
    <row r="424" spans="1:16" x14ac:dyDescent="0.15">
      <c r="A424" s="7" t="s">
        <v>648</v>
      </c>
      <c r="B424" s="9" t="str">
        <f>VLOOKUP(D424,[1]TASMaps!$H$4:$K$269,3,FALSE)</f>
        <v>TR06</v>
      </c>
      <c r="C424" s="9" t="str">
        <f>VLOOKUP(D424,[1]TASMaps!$H$4:$K$269,4,FALSE)</f>
        <v>Western Arthur</v>
      </c>
      <c r="D424" s="9">
        <v>4421</v>
      </c>
      <c r="E424" s="9" t="s">
        <v>46</v>
      </c>
      <c r="F424" s="9" t="s">
        <v>30</v>
      </c>
      <c r="G424" s="9" t="s">
        <v>27</v>
      </c>
      <c r="H424" s="8" t="s">
        <v>20</v>
      </c>
      <c r="I424" s="10">
        <v>459660</v>
      </c>
      <c r="J424" s="10">
        <v>5211690</v>
      </c>
      <c r="K424" s="11">
        <v>-43.246510000000001</v>
      </c>
      <c r="L424" s="11">
        <v>146.50308999999999</v>
      </c>
      <c r="N424" s="8">
        <v>4</v>
      </c>
      <c r="O424" s="8">
        <v>4</v>
      </c>
      <c r="P424" s="8">
        <v>4</v>
      </c>
    </row>
    <row r="425" spans="1:16" x14ac:dyDescent="0.15">
      <c r="A425" s="7" t="s">
        <v>649</v>
      </c>
      <c r="B425" s="9" t="str">
        <f>VLOOKUP(D425,[1]TASMaps!$H$4:$K$269,3,FALSE)</f>
        <v>TM05</v>
      </c>
      <c r="C425" s="9" t="str">
        <f>VLOOKUP(D425,[1]TASMaps!$H$4:$K$269,4,FALSE)</f>
        <v>Eldon</v>
      </c>
      <c r="D425" s="9">
        <v>4035</v>
      </c>
      <c r="E425" s="9" t="s">
        <v>291</v>
      </c>
      <c r="F425" s="9" t="s">
        <v>227</v>
      </c>
      <c r="G425" s="9" t="s">
        <v>24</v>
      </c>
      <c r="H425" s="8" t="s">
        <v>20</v>
      </c>
      <c r="I425" s="10">
        <v>418930</v>
      </c>
      <c r="J425" s="10">
        <v>5351545</v>
      </c>
      <c r="K425" s="11">
        <v>-41.983930000000001</v>
      </c>
      <c r="L425" s="11">
        <v>146.02135000000001</v>
      </c>
      <c r="M425" s="8" t="s">
        <v>21</v>
      </c>
      <c r="N425" s="8" t="s">
        <v>37</v>
      </c>
      <c r="O425" s="8">
        <v>2</v>
      </c>
      <c r="P425" s="8">
        <v>2</v>
      </c>
    </row>
    <row r="426" spans="1:16" x14ac:dyDescent="0.15">
      <c r="A426" s="7" t="s">
        <v>650</v>
      </c>
      <c r="B426" s="9" t="str">
        <f>VLOOKUP(D426,[1]TASMaps!$H$4:$K$269,3,FALSE)</f>
        <v>TH09</v>
      </c>
      <c r="C426" s="9" t="str">
        <f>VLOOKUP(D426,[1]TASMaps!$H$4:$K$269,4,FALSE)</f>
        <v>Boobyalla</v>
      </c>
      <c r="D426" s="9">
        <v>5645</v>
      </c>
      <c r="E426" s="9" t="s">
        <v>651</v>
      </c>
      <c r="F426" s="9" t="s">
        <v>30</v>
      </c>
      <c r="G426" s="9" t="s">
        <v>210</v>
      </c>
      <c r="H426" s="8" t="s">
        <v>20</v>
      </c>
      <c r="I426" s="10">
        <v>561600</v>
      </c>
      <c r="J426" s="10">
        <v>5453540</v>
      </c>
      <c r="K426" s="11">
        <v>-41.067059999999998</v>
      </c>
      <c r="L426" s="11">
        <v>147.73319000000001</v>
      </c>
      <c r="N426" s="8" t="s">
        <v>37</v>
      </c>
      <c r="P426" s="8">
        <v>1</v>
      </c>
    </row>
    <row r="427" spans="1:16" x14ac:dyDescent="0.15">
      <c r="A427" s="7" t="s">
        <v>652</v>
      </c>
      <c r="B427" s="9" t="str">
        <f>VLOOKUP(D427,[1]TASMaps!$H$4:$K$269,3,FALSE)</f>
        <v>TJ05</v>
      </c>
      <c r="C427" s="9" t="str">
        <f>VLOOKUP(D427,[1]TASMaps!$H$4:$K$269,4,FALSE)</f>
        <v>Emu River</v>
      </c>
      <c r="D427" s="9">
        <v>4042</v>
      </c>
      <c r="E427" s="9" t="s">
        <v>501</v>
      </c>
      <c r="F427" s="9" t="s">
        <v>30</v>
      </c>
      <c r="G427" s="9" t="s">
        <v>113</v>
      </c>
      <c r="H427" s="8" t="s">
        <v>20</v>
      </c>
      <c r="I427" s="10">
        <v>407090</v>
      </c>
      <c r="J427" s="10">
        <v>5427130</v>
      </c>
      <c r="K427" s="11">
        <v>-41.301940000000002</v>
      </c>
      <c r="L427" s="11">
        <v>145.89018999999999</v>
      </c>
      <c r="N427" s="8" t="s">
        <v>37</v>
      </c>
      <c r="O427" s="8">
        <v>1</v>
      </c>
      <c r="P427" s="8">
        <v>1</v>
      </c>
    </row>
    <row r="428" spans="1:16" x14ac:dyDescent="0.15">
      <c r="A428" s="7" t="s">
        <v>653</v>
      </c>
      <c r="B428" s="9" t="str">
        <f>VLOOKUP(D428,[1]TASMaps!$H$4:$K$269,3,FALSE)</f>
        <v>TL06</v>
      </c>
      <c r="C428" s="9" t="str">
        <f>VLOOKUP(D428,[1]TASMaps!$H$4:$K$269,4,FALSE)</f>
        <v>Jerusalem</v>
      </c>
      <c r="D428" s="9">
        <v>4237</v>
      </c>
      <c r="E428" s="9" t="s">
        <v>335</v>
      </c>
      <c r="F428" s="9" t="s">
        <v>30</v>
      </c>
      <c r="G428" s="9" t="s">
        <v>33</v>
      </c>
      <c r="H428" s="8" t="s">
        <v>20</v>
      </c>
      <c r="I428" s="10">
        <v>436800</v>
      </c>
      <c r="J428" s="10">
        <v>5373330</v>
      </c>
      <c r="K428" s="11">
        <v>-41.789369999999998</v>
      </c>
      <c r="L428" s="11">
        <v>146.23938000000001</v>
      </c>
      <c r="N428" s="8" t="s">
        <v>37</v>
      </c>
      <c r="O428" s="8">
        <v>1</v>
      </c>
      <c r="P428" s="8">
        <v>1</v>
      </c>
    </row>
    <row r="429" spans="1:16" x14ac:dyDescent="0.15">
      <c r="A429" s="7" t="s">
        <v>654</v>
      </c>
      <c r="B429" s="9" t="str">
        <f>VLOOKUP(D429,[1]TASMaps!$H$4:$K$269,3,FALSE)</f>
        <v>TM06</v>
      </c>
      <c r="C429" s="9" t="str">
        <f>VLOOKUP(D429,[1]TASMaps!$H$4:$K$269,4,FALSE)</f>
        <v>St Clair</v>
      </c>
      <c r="D429" s="9">
        <v>4233</v>
      </c>
      <c r="E429" s="9" t="s">
        <v>134</v>
      </c>
      <c r="F429" s="9" t="s">
        <v>30</v>
      </c>
      <c r="G429" s="9" t="s">
        <v>36</v>
      </c>
      <c r="H429" s="8" t="s">
        <v>20</v>
      </c>
      <c r="I429" s="10">
        <v>424390</v>
      </c>
      <c r="J429" s="10">
        <v>5338210</v>
      </c>
      <c r="K429" s="11">
        <v>-42.104559999999999</v>
      </c>
      <c r="L429" s="11">
        <v>146.08554000000001</v>
      </c>
      <c r="M429" s="8" t="s">
        <v>21</v>
      </c>
      <c r="N429" s="8">
        <v>2</v>
      </c>
      <c r="O429" s="8">
        <v>2</v>
      </c>
      <c r="P429" s="8">
        <v>3</v>
      </c>
    </row>
    <row r="430" spans="1:16" x14ac:dyDescent="0.15">
      <c r="A430" s="7" t="s">
        <v>655</v>
      </c>
      <c r="B430" s="9" t="str">
        <f>VLOOKUP(D430,[1]TASMaps!$H$4:$K$269,3,FALSE)</f>
        <v>TQ08</v>
      </c>
      <c r="C430" s="9" t="str">
        <f>VLOOKUP(D430,[1]TASMaps!$H$4:$K$269,4,FALSE)</f>
        <v>Wellington</v>
      </c>
      <c r="D430" s="9">
        <v>5025</v>
      </c>
      <c r="E430" s="9" t="s">
        <v>84</v>
      </c>
      <c r="F430" s="9" t="s">
        <v>30</v>
      </c>
      <c r="G430" s="9" t="s">
        <v>85</v>
      </c>
      <c r="H430" s="8" t="s">
        <v>20</v>
      </c>
      <c r="I430" s="10">
        <v>517100</v>
      </c>
      <c r="J430" s="10">
        <v>5255460</v>
      </c>
      <c r="K430" s="11">
        <v>-42.853250000000003</v>
      </c>
      <c r="L430" s="11">
        <v>147.20930000000001</v>
      </c>
      <c r="N430" s="8" t="s">
        <v>37</v>
      </c>
      <c r="P430" s="8">
        <v>1</v>
      </c>
    </row>
    <row r="431" spans="1:16" x14ac:dyDescent="0.15">
      <c r="A431" s="7" t="s">
        <v>656</v>
      </c>
      <c r="B431" s="9" t="str">
        <f>VLOOKUP(D431,[1]TASMaps!$H$4:$K$269,3,FALSE)</f>
        <v>TP05</v>
      </c>
      <c r="C431" s="9" t="str">
        <f>VLOOKUP(D431,[1]TASMaps!$H$4:$K$269,4,FALSE)</f>
        <v>Princess Range</v>
      </c>
      <c r="D431" s="9">
        <v>4028</v>
      </c>
      <c r="E431" s="9" t="s">
        <v>657</v>
      </c>
      <c r="F431" s="9" t="s">
        <v>30</v>
      </c>
      <c r="G431" s="9" t="s">
        <v>24</v>
      </c>
      <c r="H431" s="8" t="s">
        <v>20</v>
      </c>
      <c r="I431" s="10">
        <v>416090</v>
      </c>
      <c r="J431" s="10">
        <v>5286910</v>
      </c>
      <c r="K431" s="11">
        <v>-42.565660000000001</v>
      </c>
      <c r="L431" s="11">
        <v>145.97771</v>
      </c>
      <c r="N431" s="8">
        <v>6</v>
      </c>
      <c r="O431" s="8">
        <v>6</v>
      </c>
      <c r="P431" s="8">
        <v>6</v>
      </c>
    </row>
    <row r="432" spans="1:16" x14ac:dyDescent="0.15">
      <c r="A432" s="7" t="s">
        <v>658</v>
      </c>
      <c r="B432" s="9" t="str">
        <f>VLOOKUP(D432,[1]TASMaps!$H$4:$K$269,3,FALSE)</f>
        <v>TK10</v>
      </c>
      <c r="C432" s="9" t="str">
        <f>VLOOKUP(D432,[1]TASMaps!$H$4:$K$269,4,FALSE)</f>
        <v>Nicholas</v>
      </c>
      <c r="D432" s="9">
        <v>5840</v>
      </c>
      <c r="E432" s="9" t="s">
        <v>659</v>
      </c>
      <c r="F432" s="9" t="s">
        <v>30</v>
      </c>
      <c r="G432" s="9" t="s">
        <v>44</v>
      </c>
      <c r="H432" s="8" t="s">
        <v>20</v>
      </c>
      <c r="I432" s="10">
        <v>592270</v>
      </c>
      <c r="J432" s="10">
        <v>5402780</v>
      </c>
      <c r="K432" s="11">
        <v>-41.52131</v>
      </c>
      <c r="L432" s="11">
        <v>148.10588000000001</v>
      </c>
      <c r="N432" s="8" t="s">
        <v>37</v>
      </c>
      <c r="P432" s="8">
        <v>1</v>
      </c>
    </row>
    <row r="433" spans="1:16" x14ac:dyDescent="0.15">
      <c r="A433" s="7" t="s">
        <v>660</v>
      </c>
      <c r="B433" s="9" t="str">
        <f>VLOOKUP(D433,[1]TASMaps!$H$4:$K$269,3,FALSE)</f>
        <v>TM05</v>
      </c>
      <c r="C433" s="9" t="str">
        <f>VLOOKUP(D433,[1]TASMaps!$H$4:$K$269,4,FALSE)</f>
        <v>Eldon</v>
      </c>
      <c r="D433" s="9">
        <v>3833</v>
      </c>
      <c r="E433" s="9" t="s">
        <v>473</v>
      </c>
      <c r="F433" s="9" t="s">
        <v>30</v>
      </c>
      <c r="G433" s="9" t="s">
        <v>24</v>
      </c>
      <c r="H433" s="8" t="s">
        <v>20</v>
      </c>
      <c r="I433" s="10">
        <v>383700</v>
      </c>
      <c r="J433" s="10">
        <v>5333620</v>
      </c>
      <c r="K433" s="11">
        <v>-42.140909999999998</v>
      </c>
      <c r="L433" s="11">
        <v>145.59261000000001</v>
      </c>
      <c r="N433" s="8" t="s">
        <v>37</v>
      </c>
      <c r="O433" s="8">
        <v>2</v>
      </c>
      <c r="P433" s="8">
        <v>2</v>
      </c>
    </row>
    <row r="434" spans="1:16" x14ac:dyDescent="0.15">
      <c r="A434" s="7" t="s">
        <v>661</v>
      </c>
      <c r="B434" s="9" t="str">
        <f>VLOOKUP(D434,[1]TASMaps!$H$4:$K$269,3,FALSE)</f>
        <v>TM05</v>
      </c>
      <c r="C434" s="9" t="str">
        <f>VLOOKUP(D434,[1]TASMaps!$H$4:$K$269,4,FALSE)</f>
        <v>Eldon</v>
      </c>
      <c r="D434" s="9">
        <v>4035</v>
      </c>
      <c r="E434" s="9" t="s">
        <v>291</v>
      </c>
      <c r="F434" s="9" t="s">
        <v>30</v>
      </c>
      <c r="G434" s="9" t="s">
        <v>33</v>
      </c>
      <c r="H434" s="8" t="s">
        <v>20</v>
      </c>
      <c r="I434" s="10">
        <v>420070</v>
      </c>
      <c r="J434" s="10">
        <v>5359200</v>
      </c>
      <c r="K434" s="11">
        <v>-41.915109999999999</v>
      </c>
      <c r="L434" s="11">
        <v>146.03614999999999</v>
      </c>
      <c r="M434" s="8" t="s">
        <v>21</v>
      </c>
      <c r="N434" s="8">
        <v>3</v>
      </c>
      <c r="O434" s="8">
        <v>3</v>
      </c>
      <c r="P434" s="8">
        <v>5</v>
      </c>
    </row>
    <row r="435" spans="1:16" x14ac:dyDescent="0.15">
      <c r="A435" s="7" t="s">
        <v>662</v>
      </c>
      <c r="B435" s="9" t="str">
        <f>VLOOKUP(D435,[1]TASMaps!$H$4:$K$269,3,FALSE)</f>
        <v>TQ06</v>
      </c>
      <c r="C435" s="9" t="str">
        <f>VLOOKUP(D435,[1]TASMaps!$H$4:$K$269,4,FALSE)</f>
        <v>Lake Pedder</v>
      </c>
      <c r="D435" s="9">
        <v>4426</v>
      </c>
      <c r="E435" s="9" t="s">
        <v>663</v>
      </c>
      <c r="F435" s="9" t="s">
        <v>23</v>
      </c>
      <c r="G435" s="9" t="s">
        <v>19</v>
      </c>
      <c r="H435" s="8" t="s">
        <v>20</v>
      </c>
      <c r="I435" s="10">
        <v>447330</v>
      </c>
      <c r="J435" s="10">
        <v>5262340</v>
      </c>
      <c r="K435" s="11">
        <v>-42.789670000000001</v>
      </c>
      <c r="L435" s="11">
        <v>146.35599999999999</v>
      </c>
      <c r="N435" s="8" t="s">
        <v>37</v>
      </c>
      <c r="P435" s="8">
        <v>1</v>
      </c>
    </row>
    <row r="436" spans="1:16" x14ac:dyDescent="0.15">
      <c r="A436" s="7" t="s">
        <v>664</v>
      </c>
      <c r="B436" s="9" t="str">
        <f>VLOOKUP(D436,[1]TASMaps!$H$4:$K$269,3,FALSE)</f>
        <v>TM06</v>
      </c>
      <c r="C436" s="9" t="str">
        <f>VLOOKUP(D436,[1]TASMaps!$H$4:$K$269,4,FALSE)</f>
        <v>St Clair</v>
      </c>
      <c r="D436" s="9">
        <v>4234</v>
      </c>
      <c r="E436" s="9" t="s">
        <v>259</v>
      </c>
      <c r="F436" s="9" t="s">
        <v>30</v>
      </c>
      <c r="G436" s="9" t="s">
        <v>36</v>
      </c>
      <c r="H436" s="8" t="s">
        <v>20</v>
      </c>
      <c r="I436" s="10">
        <v>430700</v>
      </c>
      <c r="J436" s="10">
        <v>5347690</v>
      </c>
      <c r="K436" s="11">
        <v>-42.019770000000001</v>
      </c>
      <c r="L436" s="11">
        <v>146.16297</v>
      </c>
      <c r="M436" s="8" t="s">
        <v>21</v>
      </c>
      <c r="N436" s="8">
        <v>3</v>
      </c>
      <c r="O436" s="8">
        <v>3</v>
      </c>
      <c r="P436" s="8">
        <v>4</v>
      </c>
    </row>
    <row r="437" spans="1:16" x14ac:dyDescent="0.15">
      <c r="A437" s="7" t="s">
        <v>665</v>
      </c>
      <c r="B437" s="9" t="str">
        <f>VLOOKUP(D437,[1]TASMaps!$H$4:$K$269,3,FALSE)</f>
        <v>TL05</v>
      </c>
      <c r="C437" s="9" t="str">
        <f>VLOOKUP(D437,[1]TASMaps!$H$4:$K$269,4,FALSE)</f>
        <v>Murchison</v>
      </c>
      <c r="D437" s="9">
        <v>4037</v>
      </c>
      <c r="E437" s="9" t="s">
        <v>607</v>
      </c>
      <c r="F437" s="9" t="s">
        <v>30</v>
      </c>
      <c r="G437" s="9" t="s">
        <v>24</v>
      </c>
      <c r="H437" s="8" t="s">
        <v>20</v>
      </c>
      <c r="I437" s="10">
        <v>406780</v>
      </c>
      <c r="J437" s="10">
        <v>5378450</v>
      </c>
      <c r="K437" s="11">
        <v>-41.740299999999998</v>
      </c>
      <c r="L437" s="11">
        <v>145.87895</v>
      </c>
      <c r="M437" s="8" t="s">
        <v>21</v>
      </c>
      <c r="N437" s="8" t="s">
        <v>37</v>
      </c>
      <c r="O437" s="8">
        <v>3</v>
      </c>
      <c r="P437" s="8">
        <v>3</v>
      </c>
    </row>
    <row r="438" spans="1:16" x14ac:dyDescent="0.15">
      <c r="A438" s="7" t="s">
        <v>666</v>
      </c>
      <c r="B438" s="9" t="str">
        <f>VLOOKUP(D438,[1]TASMaps!$H$4:$K$269,3,FALSE)</f>
        <v>TP06</v>
      </c>
      <c r="C438" s="9" t="str">
        <f>VLOOKUP(D438,[1]TASMaps!$H$4:$K$269,4,FALSE)</f>
        <v>Denison Range</v>
      </c>
      <c r="D438" s="9">
        <v>4229</v>
      </c>
      <c r="E438" s="9" t="s">
        <v>128</v>
      </c>
      <c r="F438" s="9" t="s">
        <v>30</v>
      </c>
      <c r="G438" s="9" t="s">
        <v>36</v>
      </c>
      <c r="H438" s="8" t="s">
        <v>20</v>
      </c>
      <c r="I438" s="10">
        <v>429250</v>
      </c>
      <c r="J438" s="10">
        <v>5296970</v>
      </c>
      <c r="K438" s="11">
        <v>-42.476390000000002</v>
      </c>
      <c r="L438" s="11">
        <v>146.13927000000001</v>
      </c>
      <c r="N438" s="8">
        <v>4</v>
      </c>
      <c r="O438" s="8">
        <v>4</v>
      </c>
      <c r="P438" s="8">
        <v>4</v>
      </c>
    </row>
    <row r="439" spans="1:16" x14ac:dyDescent="0.15">
      <c r="A439" s="7" t="s">
        <v>667</v>
      </c>
      <c r="B439" s="9" t="str">
        <f>VLOOKUP(D439,[1]TASMaps!$H$4:$K$269,3,FALSE)</f>
        <v>TP05</v>
      </c>
      <c r="C439" s="9" t="str">
        <f>VLOOKUP(D439,[1]TASMaps!$H$4:$K$269,4,FALSE)</f>
        <v>Princess Range</v>
      </c>
      <c r="D439" s="9">
        <v>3827</v>
      </c>
      <c r="E439" s="9" t="s">
        <v>668</v>
      </c>
      <c r="F439" s="9" t="s">
        <v>23</v>
      </c>
      <c r="G439" s="9" t="s">
        <v>24</v>
      </c>
      <c r="H439" s="8" t="s">
        <v>20</v>
      </c>
      <c r="I439" s="10">
        <v>384980</v>
      </c>
      <c r="J439" s="10">
        <v>5278540</v>
      </c>
      <c r="K439" s="11">
        <v>-42.637</v>
      </c>
      <c r="L439" s="11">
        <v>145.59710000000001</v>
      </c>
      <c r="N439" s="8" t="s">
        <v>37</v>
      </c>
      <c r="O439" s="8">
        <v>1</v>
      </c>
      <c r="P439" s="8">
        <v>1</v>
      </c>
    </row>
    <row r="440" spans="1:16" x14ac:dyDescent="0.15">
      <c r="A440" s="9" t="s">
        <v>669</v>
      </c>
      <c r="B440" s="9" t="str">
        <f>VLOOKUP(D440,[1]TASMaps!$H$4:$K$269,3,FALSE)</f>
        <v>TK03</v>
      </c>
      <c r="C440" s="9" t="str">
        <f>VLOOKUP(D440,[1]TASMaps!$H$4:$K$269,4,FALSE)</f>
        <v>Norfolk Range</v>
      </c>
      <c r="D440" s="9">
        <v>3240</v>
      </c>
      <c r="E440" s="9" t="s">
        <v>477</v>
      </c>
      <c r="F440" s="9" t="s">
        <v>227</v>
      </c>
      <c r="G440" s="9" t="s">
        <v>24</v>
      </c>
      <c r="H440" s="8" t="s">
        <v>20</v>
      </c>
      <c r="I440" s="10">
        <v>336710</v>
      </c>
      <c r="J440" s="10">
        <v>5401060</v>
      </c>
      <c r="K440" s="11">
        <v>-41.525449999999999</v>
      </c>
      <c r="L440" s="11">
        <v>145.04284000000001</v>
      </c>
      <c r="N440" s="8" t="s">
        <v>37</v>
      </c>
      <c r="P440" s="8">
        <v>1</v>
      </c>
    </row>
    <row r="441" spans="1:16" x14ac:dyDescent="0.15">
      <c r="A441" s="7" t="s">
        <v>670</v>
      </c>
      <c r="B441" s="9" t="str">
        <f>VLOOKUP(D441,[1]TASMaps!$H$4:$K$269,3,FALSE)</f>
        <v>TS06</v>
      </c>
      <c r="C441" s="9" t="str">
        <f>VLOOKUP(D441,[1]TASMaps!$H$4:$K$269,4,FALSE)</f>
        <v>Bathurst</v>
      </c>
      <c r="D441" s="9">
        <v>4418</v>
      </c>
      <c r="E441" s="9" t="s">
        <v>671</v>
      </c>
      <c r="F441" s="9" t="s">
        <v>104</v>
      </c>
      <c r="G441" s="9" t="s">
        <v>27</v>
      </c>
      <c r="H441" s="8" t="s">
        <v>20</v>
      </c>
      <c r="I441" s="10">
        <v>457190</v>
      </c>
      <c r="J441" s="10">
        <v>5183590</v>
      </c>
      <c r="K441" s="11">
        <v>-43.499389999999998</v>
      </c>
      <c r="L441" s="11">
        <v>146.47047000000001</v>
      </c>
      <c r="N441" s="8">
        <v>3</v>
      </c>
      <c r="O441" s="8">
        <v>3</v>
      </c>
      <c r="P441" s="8">
        <v>3</v>
      </c>
    </row>
    <row r="442" spans="1:16" x14ac:dyDescent="0.15">
      <c r="A442" s="7" t="s">
        <v>672</v>
      </c>
      <c r="B442" s="9" t="str">
        <f>VLOOKUP(D442,[1]TASMaps!$H$4:$K$269,3,FALSE)</f>
        <v>TL06</v>
      </c>
      <c r="C442" s="9" t="str">
        <f>VLOOKUP(D442,[1]TASMaps!$H$4:$K$269,4,FALSE)</f>
        <v>Jerusalem</v>
      </c>
      <c r="D442" s="9">
        <v>4438</v>
      </c>
      <c r="E442" s="9" t="s">
        <v>124</v>
      </c>
      <c r="F442" s="9" t="s">
        <v>30</v>
      </c>
      <c r="G442" s="9" t="s">
        <v>33</v>
      </c>
      <c r="H442" s="8" t="s">
        <v>20</v>
      </c>
      <c r="I442" s="10">
        <v>456495</v>
      </c>
      <c r="J442" s="10">
        <v>5382125</v>
      </c>
      <c r="K442" s="11">
        <v>-41.711480000000002</v>
      </c>
      <c r="L442" s="11">
        <v>146.47704999999999</v>
      </c>
      <c r="M442" s="8" t="s">
        <v>21</v>
      </c>
      <c r="N442" s="8" t="s">
        <v>37</v>
      </c>
      <c r="O442" s="8">
        <v>2</v>
      </c>
      <c r="P442" s="8">
        <v>2</v>
      </c>
    </row>
    <row r="443" spans="1:16" x14ac:dyDescent="0.15">
      <c r="A443" s="7" t="s">
        <v>673</v>
      </c>
      <c r="B443" s="9" t="str">
        <f>VLOOKUP(D443,[1]TASMaps!$H$4:$K$269,3,FALSE)</f>
        <v>TQ07</v>
      </c>
      <c r="C443" s="9" t="str">
        <f>VLOOKUP(D443,[1]TASMaps!$H$4:$K$269,4,FALSE)</f>
        <v>Snowy Range</v>
      </c>
      <c r="D443" s="9">
        <v>4824</v>
      </c>
      <c r="E443" s="9" t="s">
        <v>674</v>
      </c>
      <c r="F443" s="9" t="s">
        <v>30</v>
      </c>
      <c r="G443" s="9" t="s">
        <v>19</v>
      </c>
      <c r="H443" s="8" t="s">
        <v>20</v>
      </c>
      <c r="I443" s="10">
        <v>491590</v>
      </c>
      <c r="J443" s="10">
        <v>5249350</v>
      </c>
      <c r="K443" s="11">
        <v>-42.90842</v>
      </c>
      <c r="L443" s="11">
        <v>146.89697000000001</v>
      </c>
      <c r="N443" s="8" t="s">
        <v>37</v>
      </c>
      <c r="P443" s="8">
        <v>1</v>
      </c>
    </row>
    <row r="444" spans="1:16" x14ac:dyDescent="0.15">
      <c r="A444" s="7" t="s">
        <v>675</v>
      </c>
      <c r="B444" s="9" t="str">
        <f>VLOOKUP(D444,[1]TASMaps!$H$4:$K$269,3,FALSE)</f>
        <v>TK06</v>
      </c>
      <c r="C444" s="9" t="str">
        <f>VLOOKUP(D444,[1]TASMaps!$H$4:$K$269,4,FALSE)</f>
        <v>Fossey Mountains</v>
      </c>
      <c r="D444" s="9">
        <v>4240</v>
      </c>
      <c r="E444" s="9" t="s">
        <v>141</v>
      </c>
      <c r="F444" s="9" t="s">
        <v>30</v>
      </c>
      <c r="G444" s="9" t="s">
        <v>142</v>
      </c>
      <c r="H444" s="8" t="s">
        <v>20</v>
      </c>
      <c r="I444" s="10">
        <v>421350</v>
      </c>
      <c r="J444" s="10">
        <v>5409160</v>
      </c>
      <c r="K444" s="11">
        <v>-41.465299999999999</v>
      </c>
      <c r="L444" s="11">
        <v>146.05816999999999</v>
      </c>
      <c r="N444" s="8" t="s">
        <v>37</v>
      </c>
      <c r="P444" s="8">
        <v>1</v>
      </c>
    </row>
    <row r="445" spans="1:16" x14ac:dyDescent="0.15">
      <c r="A445" s="7" t="s">
        <v>675</v>
      </c>
      <c r="B445" s="9" t="str">
        <f>VLOOKUP(D445,[1]TASMaps!$H$4:$K$269,3,FALSE)</f>
        <v>TQ09</v>
      </c>
      <c r="C445" s="9" t="str">
        <f>VLOOKUP(D445,[1]TASMaps!$H$4:$K$269,4,FALSE)</f>
        <v>Frederick Henry</v>
      </c>
      <c r="D445" s="9">
        <v>5626</v>
      </c>
      <c r="E445" s="9" t="s">
        <v>676</v>
      </c>
      <c r="F445" s="9" t="s">
        <v>30</v>
      </c>
      <c r="G445" s="9" t="s">
        <v>677</v>
      </c>
      <c r="H445" s="8" t="s">
        <v>20</v>
      </c>
      <c r="I445" s="10">
        <v>573020</v>
      </c>
      <c r="J445" s="10">
        <v>5269080</v>
      </c>
      <c r="K445" s="11">
        <v>-42.727310000000003</v>
      </c>
      <c r="L445" s="11">
        <v>147.89192</v>
      </c>
      <c r="N445" s="8" t="s">
        <v>37</v>
      </c>
      <c r="P445" s="8">
        <v>1</v>
      </c>
    </row>
    <row r="446" spans="1:16" x14ac:dyDescent="0.15">
      <c r="A446" s="9" t="s">
        <v>678</v>
      </c>
      <c r="B446" s="9" t="str">
        <f>VLOOKUP(D446,[1]TASMaps!$H$4:$K$269,3,FALSE)</f>
        <v>TQ05</v>
      </c>
      <c r="C446" s="9" t="str">
        <f>VLOOKUP(D446,[1]TASMaps!$H$4:$K$269,4,FALSE)</f>
        <v>Dohertys</v>
      </c>
      <c r="D446" s="9">
        <v>3825</v>
      </c>
      <c r="E446" s="9" t="s">
        <v>483</v>
      </c>
      <c r="F446" s="9" t="s">
        <v>30</v>
      </c>
      <c r="G446" s="9" t="s">
        <v>24</v>
      </c>
      <c r="H446" s="8" t="s">
        <v>20</v>
      </c>
      <c r="I446" s="10">
        <v>395890</v>
      </c>
      <c r="J446" s="10">
        <v>5251480</v>
      </c>
      <c r="K446" s="11">
        <v>-42.882179999999998</v>
      </c>
      <c r="L446" s="11">
        <v>145.72515000000001</v>
      </c>
      <c r="N446" s="8" t="s">
        <v>37</v>
      </c>
      <c r="P446" s="8">
        <v>1</v>
      </c>
    </row>
    <row r="447" spans="1:16" x14ac:dyDescent="0.15">
      <c r="A447" s="7" t="s">
        <v>679</v>
      </c>
      <c r="B447" s="9" t="str">
        <f>VLOOKUP(D447,[1]TASMaps!$H$4:$K$269,3,FALSE)</f>
        <v>TL06</v>
      </c>
      <c r="C447" s="9" t="str">
        <f>VLOOKUP(D447,[1]TASMaps!$H$4:$K$269,4,FALSE)</f>
        <v>Jerusalem</v>
      </c>
      <c r="D447" s="9">
        <v>4436</v>
      </c>
      <c r="E447" s="9" t="s">
        <v>581</v>
      </c>
      <c r="F447" s="9" t="s">
        <v>30</v>
      </c>
      <c r="G447" s="9" t="s">
        <v>33</v>
      </c>
      <c r="H447" s="8" t="s">
        <v>20</v>
      </c>
      <c r="I447" s="10">
        <v>443870</v>
      </c>
      <c r="J447" s="10">
        <v>5369905</v>
      </c>
      <c r="K447" s="11">
        <v>-41.820749999999997</v>
      </c>
      <c r="L447" s="11">
        <v>146.32414</v>
      </c>
      <c r="M447" s="8" t="s">
        <v>21</v>
      </c>
      <c r="N447" s="8">
        <v>2</v>
      </c>
      <c r="O447" s="8">
        <v>2</v>
      </c>
      <c r="P447" s="8">
        <v>3</v>
      </c>
    </row>
    <row r="448" spans="1:16" x14ac:dyDescent="0.15">
      <c r="A448" s="7" t="s">
        <v>680</v>
      </c>
      <c r="B448" s="9" t="str">
        <f>VLOOKUP(D448,[1]TASMaps!$H$4:$K$269,3,FALSE)</f>
        <v>TM07</v>
      </c>
      <c r="C448" s="9" t="str">
        <f>VLOOKUP(D448,[1]TASMaps!$H$4:$K$269,4,FALSE)</f>
        <v>Penstock</v>
      </c>
      <c r="D448" s="9">
        <v>4834</v>
      </c>
      <c r="E448" s="9" t="s">
        <v>184</v>
      </c>
      <c r="F448" s="9" t="s">
        <v>104</v>
      </c>
      <c r="G448" s="9" t="s">
        <v>36</v>
      </c>
      <c r="H448" s="8" t="s">
        <v>20</v>
      </c>
      <c r="I448" s="10">
        <v>497755</v>
      </c>
      <c r="J448" s="10">
        <v>5340350</v>
      </c>
      <c r="K448" s="11">
        <v>-42.088929999999998</v>
      </c>
      <c r="L448" s="11">
        <v>146.97284999999999</v>
      </c>
      <c r="N448" s="8" t="s">
        <v>37</v>
      </c>
      <c r="O448" s="8">
        <v>1</v>
      </c>
      <c r="P448" s="8">
        <v>1</v>
      </c>
    </row>
    <row r="449" spans="1:16" x14ac:dyDescent="0.15">
      <c r="A449" s="7" t="s">
        <v>681</v>
      </c>
      <c r="B449" s="9" t="str">
        <f>VLOOKUP(D449,[1]TASMaps!$H$4:$K$269,3,FALSE)</f>
        <v>TR06</v>
      </c>
      <c r="C449" s="9" t="str">
        <f>VLOOKUP(D449,[1]TASMaps!$H$4:$K$269,4,FALSE)</f>
        <v>Western Arthur</v>
      </c>
      <c r="D449" s="9">
        <v>4223</v>
      </c>
      <c r="E449" s="9" t="s">
        <v>318</v>
      </c>
      <c r="F449" s="9" t="s">
        <v>30</v>
      </c>
      <c r="G449" s="9" t="s">
        <v>19</v>
      </c>
      <c r="H449" s="8" t="s">
        <v>20</v>
      </c>
      <c r="I449" s="10">
        <v>435120</v>
      </c>
      <c r="J449" s="10">
        <v>5238240</v>
      </c>
      <c r="K449" s="11">
        <v>-43.005740000000003</v>
      </c>
      <c r="L449" s="11">
        <v>146.20393999999999</v>
      </c>
      <c r="N449" s="8" t="s">
        <v>37</v>
      </c>
      <c r="O449" s="8">
        <v>1</v>
      </c>
      <c r="P449" s="8">
        <v>1</v>
      </c>
    </row>
    <row r="450" spans="1:16" x14ac:dyDescent="0.15">
      <c r="A450" s="14" t="s">
        <v>682</v>
      </c>
      <c r="B450" s="9" t="str">
        <f>VLOOKUP(D450,[1]TASMaps!$H$4:$K$269,3,FALSE)</f>
        <v>TL07</v>
      </c>
      <c r="C450" s="9" t="str">
        <f>VLOOKUP(D450,[1]TASMaps!$H$4:$K$269,4,FALSE)</f>
        <v>Breton</v>
      </c>
      <c r="D450" s="9">
        <v>4637</v>
      </c>
      <c r="E450" s="9" t="s">
        <v>35</v>
      </c>
      <c r="F450" s="9" t="s">
        <v>23</v>
      </c>
      <c r="G450" s="9" t="s">
        <v>36</v>
      </c>
      <c r="H450" s="8" t="s">
        <v>20</v>
      </c>
      <c r="I450" s="10">
        <v>469740</v>
      </c>
      <c r="J450" s="10">
        <v>5377930</v>
      </c>
      <c r="K450" s="11">
        <v>-41.749879999999997</v>
      </c>
      <c r="L450" s="11">
        <v>146.63604000000001</v>
      </c>
      <c r="N450" s="8" t="s">
        <v>37</v>
      </c>
      <c r="P450" s="8">
        <v>1</v>
      </c>
    </row>
    <row r="451" spans="1:16" x14ac:dyDescent="0.15">
      <c r="A451" s="7" t="s">
        <v>683</v>
      </c>
      <c r="B451" s="9" t="str">
        <f>VLOOKUP(D451,[1]TASMaps!$H$4:$K$269,3,FALSE)</f>
        <v>TQ07</v>
      </c>
      <c r="C451" s="9" t="str">
        <f>VLOOKUP(D451,[1]TASMaps!$H$4:$K$269,4,FALSE)</f>
        <v>Snowy Range</v>
      </c>
      <c r="D451" s="9">
        <v>4625</v>
      </c>
      <c r="E451" s="9" t="s">
        <v>684</v>
      </c>
      <c r="F451" s="9" t="s">
        <v>104</v>
      </c>
      <c r="G451" s="9" t="s">
        <v>19</v>
      </c>
      <c r="H451" s="8" t="s">
        <v>20</v>
      </c>
      <c r="I451" s="10">
        <v>463140</v>
      </c>
      <c r="J451" s="10">
        <v>5252260</v>
      </c>
      <c r="K451" s="11">
        <v>-42.881369999999997</v>
      </c>
      <c r="L451" s="11">
        <v>146.54864000000001</v>
      </c>
      <c r="N451" s="8" t="s">
        <v>37</v>
      </c>
      <c r="O451" s="8">
        <v>3</v>
      </c>
      <c r="P451" s="8">
        <v>3</v>
      </c>
    </row>
    <row r="452" spans="1:16" x14ac:dyDescent="0.15">
      <c r="A452" s="7" t="s">
        <v>685</v>
      </c>
      <c r="B452" s="9" t="str">
        <f>VLOOKUP(D452,[1]TASMaps!$H$4:$K$269,3,FALSE)</f>
        <v>TQ07</v>
      </c>
      <c r="C452" s="9" t="str">
        <f>VLOOKUP(D452,[1]TASMaps!$H$4:$K$269,4,FALSE)</f>
        <v>Snowy Range</v>
      </c>
      <c r="D452" s="9">
        <v>4625</v>
      </c>
      <c r="E452" s="9" t="s">
        <v>684</v>
      </c>
      <c r="F452" s="9" t="s">
        <v>30</v>
      </c>
      <c r="G452" s="9" t="s">
        <v>19</v>
      </c>
      <c r="H452" s="8" t="s">
        <v>20</v>
      </c>
      <c r="I452" s="10">
        <v>464000</v>
      </c>
      <c r="J452" s="10">
        <v>5254830</v>
      </c>
      <c r="K452" s="11">
        <v>-42.858269999999997</v>
      </c>
      <c r="L452" s="11">
        <v>146.55933999999999</v>
      </c>
      <c r="N452" s="8" t="s">
        <v>37</v>
      </c>
      <c r="P452" s="8">
        <v>1</v>
      </c>
    </row>
    <row r="453" spans="1:16" x14ac:dyDescent="0.15">
      <c r="A453" s="7" t="s">
        <v>686</v>
      </c>
      <c r="B453" s="9" t="str">
        <f>VLOOKUP(D453,[1]TASMaps!$H$4:$K$269,3,FALSE)</f>
        <v>TQ07</v>
      </c>
      <c r="C453" s="9" t="str">
        <f>VLOOKUP(D453,[1]TASMaps!$H$4:$K$269,4,FALSE)</f>
        <v>Snowy Range</v>
      </c>
      <c r="D453" s="9">
        <v>4824</v>
      </c>
      <c r="E453" s="9" t="s">
        <v>674</v>
      </c>
      <c r="F453" s="9" t="s">
        <v>135</v>
      </c>
      <c r="G453" s="9" t="s">
        <v>27</v>
      </c>
      <c r="H453" s="8" t="s">
        <v>20</v>
      </c>
      <c r="I453" s="10">
        <v>496720</v>
      </c>
      <c r="J453" s="10">
        <v>5249190</v>
      </c>
      <c r="K453" s="11">
        <v>-42.9099</v>
      </c>
      <c r="L453" s="11">
        <v>146.95982000000001</v>
      </c>
      <c r="N453" s="8" t="s">
        <v>37</v>
      </c>
      <c r="P453" s="8">
        <v>1</v>
      </c>
    </row>
    <row r="454" spans="1:16" x14ac:dyDescent="0.15">
      <c r="A454" s="9" t="s">
        <v>687</v>
      </c>
      <c r="B454" s="9" t="str">
        <f>VLOOKUP(D454,[1]TASMaps!$H$4:$K$269,3,FALSE)</f>
        <v>TK03</v>
      </c>
      <c r="C454" s="9" t="str">
        <f>VLOOKUP(D454,[1]TASMaps!$H$4:$K$269,4,FALSE)</f>
        <v>Norfolk Range</v>
      </c>
      <c r="D454" s="9">
        <v>3240</v>
      </c>
      <c r="E454" s="9" t="s">
        <v>477</v>
      </c>
      <c r="F454" s="9" t="s">
        <v>30</v>
      </c>
      <c r="G454" s="9" t="s">
        <v>107</v>
      </c>
      <c r="H454" s="8" t="s">
        <v>20</v>
      </c>
      <c r="I454" s="10">
        <v>332760</v>
      </c>
      <c r="J454" s="10">
        <v>5405380</v>
      </c>
      <c r="K454" s="11">
        <v>-41.48574</v>
      </c>
      <c r="L454" s="11">
        <v>144.99672000000001</v>
      </c>
      <c r="N454" s="8" t="s">
        <v>37</v>
      </c>
      <c r="P454" s="8">
        <v>1</v>
      </c>
    </row>
    <row r="455" spans="1:16" x14ac:dyDescent="0.15">
      <c r="A455" s="7" t="s">
        <v>688</v>
      </c>
      <c r="B455" s="9" t="str">
        <f>VLOOKUP(D455,[1]TASMaps!$H$4:$K$269,3,FALSE)</f>
        <v>TN05</v>
      </c>
      <c r="C455" s="9" t="str">
        <f>VLOOKUP(D455,[1]TASMaps!$H$4:$K$269,4,FALSE)</f>
        <v>Frenchmans</v>
      </c>
      <c r="D455" s="9">
        <v>3832</v>
      </c>
      <c r="E455" s="9" t="s">
        <v>235</v>
      </c>
      <c r="F455" s="9" t="s">
        <v>30</v>
      </c>
      <c r="G455" s="9" t="s">
        <v>24</v>
      </c>
      <c r="H455" s="8" t="s">
        <v>20</v>
      </c>
      <c r="I455" s="10">
        <v>382950</v>
      </c>
      <c r="J455" s="10">
        <v>5330040</v>
      </c>
      <c r="K455" s="11">
        <v>-42.173029999999997</v>
      </c>
      <c r="L455" s="11">
        <v>145.58282</v>
      </c>
      <c r="M455" s="8" t="s">
        <v>21</v>
      </c>
      <c r="N455" s="8">
        <v>3</v>
      </c>
      <c r="O455" s="8">
        <v>3</v>
      </c>
      <c r="P455" s="8">
        <v>3</v>
      </c>
    </row>
    <row r="456" spans="1:16" x14ac:dyDescent="0.15">
      <c r="A456" s="7" t="s">
        <v>689</v>
      </c>
      <c r="B456" s="9" t="str">
        <f>VLOOKUP(D456,[1]TASMaps!$H$4:$K$269,3,FALSE)</f>
        <v>TL05</v>
      </c>
      <c r="C456" s="9" t="str">
        <f>VLOOKUP(D456,[1]TASMaps!$H$4:$K$269,4,FALSE)</f>
        <v>Murchison</v>
      </c>
      <c r="D456" s="9">
        <v>3836</v>
      </c>
      <c r="E456" s="9" t="s">
        <v>75</v>
      </c>
      <c r="F456" s="9" t="s">
        <v>23</v>
      </c>
      <c r="G456" s="9" t="s">
        <v>24</v>
      </c>
      <c r="H456" s="8" t="s">
        <v>20</v>
      </c>
      <c r="I456" s="10">
        <v>383430</v>
      </c>
      <c r="J456" s="10">
        <v>5361360</v>
      </c>
      <c r="K456" s="11">
        <v>-41.891100000000002</v>
      </c>
      <c r="L456" s="11">
        <v>145.59486000000001</v>
      </c>
      <c r="N456" s="8" t="s">
        <v>37</v>
      </c>
      <c r="O456" s="8">
        <v>1</v>
      </c>
      <c r="P456" s="8">
        <v>1</v>
      </c>
    </row>
    <row r="457" spans="1:16" x14ac:dyDescent="0.15">
      <c r="A457" s="7" t="s">
        <v>690</v>
      </c>
      <c r="B457" s="9" t="str">
        <f>VLOOKUP(D457,[1]TASMaps!$H$4:$K$269,3,FALSE)</f>
        <v>TL05</v>
      </c>
      <c r="C457" s="9" t="str">
        <f>VLOOKUP(D457,[1]TASMaps!$H$4:$K$269,4,FALSE)</f>
        <v>Murchison</v>
      </c>
      <c r="D457" s="9">
        <v>3836</v>
      </c>
      <c r="E457" s="9" t="s">
        <v>75</v>
      </c>
      <c r="F457" s="9" t="s">
        <v>30</v>
      </c>
      <c r="G457" s="9" t="s">
        <v>24</v>
      </c>
      <c r="H457" s="8" t="s">
        <v>20</v>
      </c>
      <c r="I457" s="10">
        <v>380860</v>
      </c>
      <c r="J457" s="10">
        <v>5362105</v>
      </c>
      <c r="K457" s="11">
        <v>-41.884010000000004</v>
      </c>
      <c r="L457" s="11">
        <v>145.56404000000001</v>
      </c>
      <c r="N457" s="8" t="s">
        <v>37</v>
      </c>
      <c r="P457" s="8">
        <v>1</v>
      </c>
    </row>
    <row r="458" spans="1:16" x14ac:dyDescent="0.15">
      <c r="A458" s="9" t="s">
        <v>691</v>
      </c>
      <c r="B458" s="9" t="str">
        <f>VLOOKUP(D458,[1]TASMaps!$H$4:$K$269,3,FALSE)</f>
        <v>TN05</v>
      </c>
      <c r="C458" s="9" t="str">
        <f>VLOOKUP(D458,[1]TASMaps!$H$4:$K$269,4,FALSE)</f>
        <v>Frenchmans</v>
      </c>
      <c r="D458" s="9">
        <v>4032</v>
      </c>
      <c r="E458" s="9" t="s">
        <v>56</v>
      </c>
      <c r="F458" s="9" t="s">
        <v>23</v>
      </c>
      <c r="G458" s="9" t="s">
        <v>24</v>
      </c>
      <c r="H458" s="8" t="s">
        <v>20</v>
      </c>
      <c r="I458" s="10">
        <v>412360</v>
      </c>
      <c r="J458" s="10">
        <v>5326610</v>
      </c>
      <c r="K458" s="11">
        <v>-42.20776</v>
      </c>
      <c r="L458" s="11">
        <v>145.93832</v>
      </c>
      <c r="N458" s="8" t="s">
        <v>37</v>
      </c>
      <c r="P458" s="8">
        <v>1</v>
      </c>
    </row>
    <row r="459" spans="1:16" x14ac:dyDescent="0.15">
      <c r="A459" s="7" t="s">
        <v>692</v>
      </c>
      <c r="B459" s="9" t="str">
        <f>VLOOKUP(D459,[1]TASMaps!$H$4:$K$269,3,FALSE)</f>
        <v>TT06</v>
      </c>
      <c r="C459" s="9" t="str">
        <f>VLOOKUP(D459,[1]TASMaps!$H$4:$K$269,4,FALSE)</f>
        <v>South Coast</v>
      </c>
      <c r="D459" s="9">
        <v>4217</v>
      </c>
      <c r="E459" s="9" t="s">
        <v>693</v>
      </c>
      <c r="F459" s="9" t="s">
        <v>30</v>
      </c>
      <c r="G459" s="9" t="s">
        <v>27</v>
      </c>
      <c r="H459" s="8" t="s">
        <v>20</v>
      </c>
      <c r="I459" s="10">
        <v>423520</v>
      </c>
      <c r="J459" s="10">
        <v>5179470</v>
      </c>
      <c r="K459" s="11">
        <v>-43.533799999999999</v>
      </c>
      <c r="L459" s="11">
        <v>146.05346</v>
      </c>
      <c r="N459" s="8" t="s">
        <v>37</v>
      </c>
      <c r="O459" s="8">
        <v>1</v>
      </c>
      <c r="P459" s="8">
        <v>1</v>
      </c>
    </row>
    <row r="460" spans="1:16" x14ac:dyDescent="0.15">
      <c r="A460" s="7" t="s">
        <v>694</v>
      </c>
      <c r="B460" s="9" t="str">
        <f>VLOOKUP(D460,[1]TASMaps!$H$4:$K$269,3,FALSE)</f>
        <v>TK05</v>
      </c>
      <c r="C460" s="9" t="str">
        <f>VLOOKUP(D460,[1]TASMaps!$H$4:$K$269,4,FALSE)</f>
        <v>Black Bluff</v>
      </c>
      <c r="D460" s="9">
        <v>4039</v>
      </c>
      <c r="E460" s="9" t="s">
        <v>99</v>
      </c>
      <c r="F460" s="9" t="s">
        <v>30</v>
      </c>
      <c r="G460" s="9" t="s">
        <v>142</v>
      </c>
      <c r="H460" s="8" t="s">
        <v>20</v>
      </c>
      <c r="I460" s="10">
        <v>413280</v>
      </c>
      <c r="J460" s="10">
        <v>5392290</v>
      </c>
      <c r="K460" s="11">
        <v>-41.616399999999999</v>
      </c>
      <c r="L460" s="11">
        <v>145.95911000000001</v>
      </c>
      <c r="M460" s="8" t="s">
        <v>21</v>
      </c>
      <c r="N460" s="8" t="s">
        <v>37</v>
      </c>
      <c r="O460" s="8">
        <v>1</v>
      </c>
      <c r="P460" s="8">
        <v>1</v>
      </c>
    </row>
    <row r="461" spans="1:16" x14ac:dyDescent="0.15">
      <c r="A461" s="7" t="s">
        <v>695</v>
      </c>
      <c r="B461" s="9" t="str">
        <f>VLOOKUP(D461,[1]TASMaps!$H$4:$K$269,3,FALSE)</f>
        <v>TQ07</v>
      </c>
      <c r="C461" s="9" t="str">
        <f>VLOOKUP(D461,[1]TASMaps!$H$4:$K$269,4,FALSE)</f>
        <v>Snowy Range</v>
      </c>
      <c r="D461" s="9">
        <v>4825</v>
      </c>
      <c r="E461" s="9" t="s">
        <v>696</v>
      </c>
      <c r="F461" s="9" t="s">
        <v>18</v>
      </c>
      <c r="G461" s="9" t="s">
        <v>27</v>
      </c>
      <c r="H461" s="8" t="s">
        <v>20</v>
      </c>
      <c r="I461" s="10">
        <v>485220</v>
      </c>
      <c r="J461" s="10">
        <v>5250410</v>
      </c>
      <c r="K461" s="11">
        <v>-42.898780000000002</v>
      </c>
      <c r="L461" s="11">
        <v>146.81897000000001</v>
      </c>
      <c r="N461" s="8" t="s">
        <v>37</v>
      </c>
      <c r="P461" s="8">
        <v>1</v>
      </c>
    </row>
    <row r="462" spans="1:16" x14ac:dyDescent="0.15">
      <c r="A462" s="7" t="s">
        <v>697</v>
      </c>
      <c r="B462" s="9" t="str">
        <f>VLOOKUP(D462,[1]TASMaps!$H$4:$K$269,3,FALSE)</f>
        <v>TF10</v>
      </c>
      <c r="C462" s="9" t="str">
        <f>VLOOKUP(D462,[1]TASMaps!$H$4:$K$269,4,FALSE)</f>
        <v>Armstrong</v>
      </c>
      <c r="D462" s="9">
        <v>6052</v>
      </c>
      <c r="E462" s="9" t="s">
        <v>698</v>
      </c>
      <c r="F462" s="9" t="s">
        <v>30</v>
      </c>
      <c r="G462" s="9" t="s">
        <v>151</v>
      </c>
      <c r="H462" s="8" t="s">
        <v>20</v>
      </c>
      <c r="I462" s="10">
        <v>615380</v>
      </c>
      <c r="J462" s="10">
        <v>5523120</v>
      </c>
      <c r="K462" s="11">
        <v>-40.434559999999998</v>
      </c>
      <c r="L462" s="11">
        <v>148.36033</v>
      </c>
      <c r="N462" s="8" t="s">
        <v>37</v>
      </c>
      <c r="O462" s="8">
        <v>2</v>
      </c>
      <c r="P462" s="8">
        <v>2</v>
      </c>
    </row>
    <row r="463" spans="1:16" x14ac:dyDescent="0.15">
      <c r="A463" s="9" t="s">
        <v>699</v>
      </c>
      <c r="B463" s="9" t="str">
        <f>VLOOKUP(D463,[1]TASMaps!$H$4:$K$269,3,FALSE)</f>
        <v>TL04</v>
      </c>
      <c r="C463" s="9" t="str">
        <f>VLOOKUP(D463,[1]TASMaps!$H$4:$K$269,4,FALSE)</f>
        <v>Lake Pieman</v>
      </c>
      <c r="D463" s="9">
        <v>3638</v>
      </c>
      <c r="E463" s="9" t="s">
        <v>249</v>
      </c>
      <c r="F463" s="9" t="s">
        <v>30</v>
      </c>
      <c r="G463" s="9" t="s">
        <v>24</v>
      </c>
      <c r="H463" s="8" t="s">
        <v>20</v>
      </c>
      <c r="I463" s="10">
        <v>377480</v>
      </c>
      <c r="J463" s="10">
        <v>5380450</v>
      </c>
      <c r="K463" s="11">
        <v>-41.718310000000002</v>
      </c>
      <c r="L463" s="11">
        <v>145.52709999999999</v>
      </c>
      <c r="N463" s="8" t="s">
        <v>37</v>
      </c>
      <c r="P463" s="8">
        <v>1</v>
      </c>
    </row>
    <row r="464" spans="1:16" x14ac:dyDescent="0.15">
      <c r="A464" s="7" t="s">
        <v>700</v>
      </c>
      <c r="B464" s="9" t="str">
        <f>VLOOKUP(D464,[1]TASMaps!$H$4:$K$269,3,FALSE)</f>
        <v>TC09</v>
      </c>
      <c r="C464" s="9" t="str">
        <f>VLOOKUP(D464,[1]TASMaps!$H$4:$K$269,4,FALSE)</f>
        <v>Blyth</v>
      </c>
      <c r="D464" s="9">
        <v>5659</v>
      </c>
      <c r="E464" s="9" t="s">
        <v>701</v>
      </c>
      <c r="F464" s="9" t="s">
        <v>30</v>
      </c>
      <c r="G464" s="9" t="s">
        <v>151</v>
      </c>
      <c r="H464" s="8" t="s">
        <v>20</v>
      </c>
      <c r="I464" s="10">
        <v>573730</v>
      </c>
      <c r="J464" s="10">
        <v>5592830</v>
      </c>
      <c r="K464" s="11">
        <v>-39.811309999999999</v>
      </c>
      <c r="L464" s="11">
        <v>147.86138</v>
      </c>
      <c r="N464" s="8" t="s">
        <v>37</v>
      </c>
      <c r="P464" s="8">
        <v>1</v>
      </c>
    </row>
    <row r="465" spans="1:16" x14ac:dyDescent="0.15">
      <c r="A465" s="7" t="s">
        <v>702</v>
      </c>
      <c r="B465" s="9" t="str">
        <f>VLOOKUP(D465,[1]TASMaps!$H$4:$K$269,3,FALSE)</f>
        <v>TJ06</v>
      </c>
      <c r="C465" s="9" t="str">
        <f>VLOOKUP(D465,[1]TASMaps!$H$4:$K$269,4,FALSE)</f>
        <v>Paloona</v>
      </c>
      <c r="D465" s="9">
        <v>4442</v>
      </c>
      <c r="E465" s="9" t="s">
        <v>703</v>
      </c>
      <c r="F465" s="9" t="s">
        <v>18</v>
      </c>
      <c r="G465" s="9" t="s">
        <v>142</v>
      </c>
      <c r="H465" s="8" t="s">
        <v>20</v>
      </c>
      <c r="I465" s="10">
        <v>446090</v>
      </c>
      <c r="J465" s="10">
        <v>5420700</v>
      </c>
      <c r="K465" s="11">
        <v>-41.363399999999999</v>
      </c>
      <c r="L465" s="11">
        <v>146.35543999999999</v>
      </c>
      <c r="N465" s="8" t="s">
        <v>37</v>
      </c>
      <c r="P465" s="8">
        <v>1</v>
      </c>
    </row>
    <row r="466" spans="1:16" x14ac:dyDescent="0.15">
      <c r="A466" s="7" t="s">
        <v>704</v>
      </c>
      <c r="B466" s="9" t="str">
        <f>VLOOKUP(D466,[1]TASMaps!$H$4:$K$269,3,FALSE)</f>
        <v>TL06</v>
      </c>
      <c r="C466" s="9" t="str">
        <f>VLOOKUP(D466,[1]TASMaps!$H$4:$K$269,4,FALSE)</f>
        <v>Jerusalem</v>
      </c>
      <c r="D466" s="9">
        <v>4437</v>
      </c>
      <c r="E466" s="9" t="s">
        <v>448</v>
      </c>
      <c r="F466" s="9" t="s">
        <v>30</v>
      </c>
      <c r="G466" s="9" t="s">
        <v>33</v>
      </c>
      <c r="H466" s="8" t="s">
        <v>20</v>
      </c>
      <c r="I466" s="10">
        <v>440885</v>
      </c>
      <c r="J466" s="10">
        <v>5370370</v>
      </c>
      <c r="K466" s="11">
        <v>-41.816339999999997</v>
      </c>
      <c r="L466" s="11">
        <v>146.28825000000001</v>
      </c>
      <c r="M466" s="8" t="s">
        <v>21</v>
      </c>
      <c r="N466" s="8">
        <v>2</v>
      </c>
      <c r="O466" s="8">
        <v>2</v>
      </c>
      <c r="P466" s="8">
        <v>3</v>
      </c>
    </row>
    <row r="467" spans="1:16" x14ac:dyDescent="0.15">
      <c r="A467" s="7" t="s">
        <v>705</v>
      </c>
      <c r="B467" s="9" t="str">
        <f>VLOOKUP(D467,[1]TASMaps!$H$4:$K$269,3,FALSE)</f>
        <v>TN06</v>
      </c>
      <c r="C467" s="9" t="str">
        <f>VLOOKUP(D467,[1]TASMaps!$H$4:$K$269,4,FALSE)</f>
        <v>King William</v>
      </c>
      <c r="D467" s="9">
        <v>4232</v>
      </c>
      <c r="E467" s="9" t="s">
        <v>80</v>
      </c>
      <c r="F467" s="9" t="s">
        <v>30</v>
      </c>
      <c r="G467" s="9" t="s">
        <v>36</v>
      </c>
      <c r="H467" s="8" t="s">
        <v>20</v>
      </c>
      <c r="I467" s="10">
        <v>428930</v>
      </c>
      <c r="J467" s="10">
        <v>5324960</v>
      </c>
      <c r="K467" s="11">
        <v>-42.224299999999999</v>
      </c>
      <c r="L467" s="11">
        <v>146.13882000000001</v>
      </c>
      <c r="M467" s="8" t="s">
        <v>21</v>
      </c>
      <c r="N467" s="8">
        <v>2</v>
      </c>
      <c r="O467" s="8">
        <v>2</v>
      </c>
      <c r="P467" s="8">
        <v>2</v>
      </c>
    </row>
    <row r="468" spans="1:16" x14ac:dyDescent="0.15">
      <c r="A468" s="7" t="s">
        <v>706</v>
      </c>
      <c r="B468" s="9" t="str">
        <f>VLOOKUP(D468,[1]TASMaps!$H$4:$K$269,3,FALSE)</f>
        <v>TN06</v>
      </c>
      <c r="C468" s="9" t="str">
        <f>VLOOKUP(D468,[1]TASMaps!$H$4:$K$269,4,FALSE)</f>
        <v>King William</v>
      </c>
      <c r="D468" s="9">
        <v>4231</v>
      </c>
      <c r="E468" s="9" t="s">
        <v>361</v>
      </c>
      <c r="F468" s="9" t="s">
        <v>30</v>
      </c>
      <c r="G468" s="9" t="s">
        <v>36</v>
      </c>
      <c r="H468" s="8" t="s">
        <v>20</v>
      </c>
      <c r="I468" s="10">
        <v>429300</v>
      </c>
      <c r="J468" s="10">
        <v>5316120</v>
      </c>
      <c r="K468" s="11">
        <v>-42.303939999999997</v>
      </c>
      <c r="L468" s="11">
        <v>146.14223000000001</v>
      </c>
      <c r="M468" s="8" t="s">
        <v>21</v>
      </c>
      <c r="N468" s="8">
        <v>3</v>
      </c>
      <c r="O468" s="8">
        <v>3</v>
      </c>
      <c r="P468" s="8">
        <v>3</v>
      </c>
    </row>
    <row r="469" spans="1:16" x14ac:dyDescent="0.15">
      <c r="A469" s="7" t="s">
        <v>707</v>
      </c>
      <c r="B469" s="9" t="str">
        <f>VLOOKUP(D469,[1]TASMaps!$H$4:$K$269,3,FALSE)</f>
        <v>TN06</v>
      </c>
      <c r="C469" s="9" t="str">
        <f>VLOOKUP(D469,[1]TASMaps!$H$4:$K$269,4,FALSE)</f>
        <v>King William</v>
      </c>
      <c r="D469" s="9">
        <v>4230</v>
      </c>
      <c r="E469" s="9" t="s">
        <v>50</v>
      </c>
      <c r="F469" s="9" t="s">
        <v>30</v>
      </c>
      <c r="G469" s="9" t="s">
        <v>59</v>
      </c>
      <c r="H469" s="8" t="s">
        <v>20</v>
      </c>
      <c r="I469" s="10">
        <v>431720</v>
      </c>
      <c r="J469" s="10">
        <v>5309510</v>
      </c>
      <c r="K469" s="11">
        <v>-42.363680000000002</v>
      </c>
      <c r="L469" s="11">
        <v>146.17080000000001</v>
      </c>
      <c r="N469" s="8" t="s">
        <v>37</v>
      </c>
      <c r="O469" s="8">
        <v>3</v>
      </c>
      <c r="P469" s="8">
        <v>3</v>
      </c>
    </row>
    <row r="470" spans="1:16" x14ac:dyDescent="0.15">
      <c r="A470" s="7" t="s">
        <v>708</v>
      </c>
      <c r="B470" s="9" t="str">
        <f>VLOOKUP(D470,[1]TASMaps!$H$4:$K$269,3,FALSE)</f>
        <v>TS06</v>
      </c>
      <c r="C470" s="9" t="str">
        <f>VLOOKUP(D470,[1]TASMaps!$H$4:$K$269,4,FALSE)</f>
        <v>Bathurst</v>
      </c>
      <c r="D470" s="9">
        <v>4220</v>
      </c>
      <c r="E470" s="9" t="s">
        <v>157</v>
      </c>
      <c r="F470" s="9" t="s">
        <v>30</v>
      </c>
      <c r="G470" s="9" t="s">
        <v>27</v>
      </c>
      <c r="H470" s="8" t="s">
        <v>20</v>
      </c>
      <c r="I470" s="10">
        <v>427870</v>
      </c>
      <c r="J470" s="10">
        <v>5210090</v>
      </c>
      <c r="K470" s="11">
        <v>-43.25855</v>
      </c>
      <c r="L470" s="11">
        <v>146.11133000000001</v>
      </c>
      <c r="N470" s="8" t="s">
        <v>37</v>
      </c>
      <c r="O470" s="8">
        <v>1</v>
      </c>
      <c r="P470" s="8">
        <v>1</v>
      </c>
    </row>
    <row r="471" spans="1:16" x14ac:dyDescent="0.15">
      <c r="A471" s="9" t="s">
        <v>709</v>
      </c>
      <c r="B471" s="9" t="str">
        <f>VLOOKUP(D471,[1]TASMaps!$H$4:$K$269,3,FALSE)</f>
        <v>TJ06</v>
      </c>
      <c r="C471" s="9" t="str">
        <f>VLOOKUP(D471,[1]TASMaps!$H$4:$K$269,4,FALSE)</f>
        <v>Paloona</v>
      </c>
      <c r="D471" s="9">
        <v>4242</v>
      </c>
      <c r="E471" s="9" t="s">
        <v>471</v>
      </c>
      <c r="F471" s="9" t="s">
        <v>18</v>
      </c>
      <c r="G471" s="9" t="s">
        <v>142</v>
      </c>
      <c r="H471" s="8" t="s">
        <v>20</v>
      </c>
      <c r="I471" s="10">
        <v>435710</v>
      </c>
      <c r="J471" s="10">
        <v>5422720</v>
      </c>
      <c r="K471" s="11">
        <v>-41.344450000000002</v>
      </c>
      <c r="L471" s="11">
        <v>146.23156</v>
      </c>
      <c r="N471" s="8" t="s">
        <v>37</v>
      </c>
      <c r="P471" s="8">
        <v>1</v>
      </c>
    </row>
    <row r="472" spans="1:16" x14ac:dyDescent="0.15">
      <c r="A472" s="9" t="s">
        <v>710</v>
      </c>
      <c r="B472" s="9" t="str">
        <f>VLOOKUP(D472,[1]TASMaps!$H$4:$K$269,3,FALSE)</f>
        <v>TL08</v>
      </c>
      <c r="C472" s="9" t="str">
        <f>VLOOKUP(D472,[1]TASMaps!$H$4:$K$269,4,FALSE)</f>
        <v>Hummocky</v>
      </c>
      <c r="D472" s="9">
        <v>5036</v>
      </c>
      <c r="E472" s="9" t="s">
        <v>711</v>
      </c>
      <c r="F472" s="9" t="s">
        <v>30</v>
      </c>
      <c r="G472" s="9" t="s">
        <v>78</v>
      </c>
      <c r="H472" s="8" t="s">
        <v>20</v>
      </c>
      <c r="I472" s="10">
        <v>515400</v>
      </c>
      <c r="J472" s="10">
        <v>5362300</v>
      </c>
      <c r="K472" s="11">
        <v>-41.891080000000002</v>
      </c>
      <c r="L472" s="11">
        <v>147.18563</v>
      </c>
      <c r="N472" s="8" t="s">
        <v>37</v>
      </c>
      <c r="P472" s="8">
        <v>1</v>
      </c>
    </row>
    <row r="473" spans="1:16" x14ac:dyDescent="0.15">
      <c r="A473" s="9" t="s">
        <v>712</v>
      </c>
      <c r="B473" s="9" t="str">
        <f>VLOOKUP(D473,[1]TASMaps!$H$4:$K$269,3,FALSE)</f>
        <v>TS07</v>
      </c>
      <c r="C473" s="9" t="str">
        <f>VLOOKUP(D473,[1]TASMaps!$H$4:$K$269,4,FALSE)</f>
        <v>Adamsons</v>
      </c>
      <c r="D473" s="9">
        <v>4618</v>
      </c>
      <c r="E473" s="9" t="s">
        <v>343</v>
      </c>
      <c r="F473" s="9" t="s">
        <v>30</v>
      </c>
      <c r="G473" s="9" t="s">
        <v>27</v>
      </c>
      <c r="H473" s="8" t="s">
        <v>20</v>
      </c>
      <c r="I473" s="10">
        <v>476330</v>
      </c>
      <c r="J473" s="10">
        <v>5183220</v>
      </c>
      <c r="K473" s="11">
        <v>-43.503570000000003</v>
      </c>
      <c r="L473" s="11">
        <v>146.7072</v>
      </c>
      <c r="N473" s="8" t="s">
        <v>37</v>
      </c>
      <c r="P473" s="8">
        <v>1</v>
      </c>
    </row>
    <row r="474" spans="1:16" x14ac:dyDescent="0.15">
      <c r="A474" s="9" t="s">
        <v>713</v>
      </c>
      <c r="B474" s="9" t="str">
        <f>VLOOKUP(D474,[1]TASMaps!$H$4:$K$269,3,FALSE)</f>
        <v>TP07</v>
      </c>
      <c r="C474" s="9" t="str">
        <f>VLOOKUP(D474,[1]TASMaps!$H$4:$K$269,4,FALSE)</f>
        <v>Meadowbank</v>
      </c>
      <c r="D474" s="9">
        <v>4627</v>
      </c>
      <c r="E474" s="9" t="s">
        <v>233</v>
      </c>
      <c r="F474" s="9" t="s">
        <v>18</v>
      </c>
      <c r="G474" s="9" t="s">
        <v>19</v>
      </c>
      <c r="H474" s="8" t="s">
        <v>20</v>
      </c>
      <c r="I474" s="10">
        <v>460840</v>
      </c>
      <c r="J474" s="10">
        <v>5273530</v>
      </c>
      <c r="K474" s="11">
        <v>-42.689720000000001</v>
      </c>
      <c r="L474" s="11">
        <v>146.52196000000001</v>
      </c>
      <c r="N474" s="8" t="s">
        <v>37</v>
      </c>
      <c r="P474" s="8">
        <v>1</v>
      </c>
    </row>
    <row r="475" spans="1:16" x14ac:dyDescent="0.15">
      <c r="A475" s="9" t="s">
        <v>714</v>
      </c>
      <c r="B475" s="9" t="str">
        <f>VLOOKUP(D475,[1]TASMaps!$H$4:$K$269,3,FALSE)</f>
        <v>TP07</v>
      </c>
      <c r="C475" s="9" t="str">
        <f>VLOOKUP(D475,[1]TASMaps!$H$4:$K$269,4,FALSE)</f>
        <v>Meadowbank</v>
      </c>
      <c r="D475" s="9">
        <v>4627</v>
      </c>
      <c r="E475" s="9" t="s">
        <v>233</v>
      </c>
      <c r="F475" s="9" t="s">
        <v>18</v>
      </c>
      <c r="G475" s="9" t="s">
        <v>19</v>
      </c>
      <c r="H475" s="8" t="s">
        <v>20</v>
      </c>
      <c r="I475" s="10">
        <v>461170</v>
      </c>
      <c r="J475" s="10">
        <v>5273200</v>
      </c>
      <c r="K475" s="11">
        <v>-42.692700000000002</v>
      </c>
      <c r="L475" s="11">
        <v>146.52596</v>
      </c>
      <c r="N475" s="8" t="s">
        <v>37</v>
      </c>
      <c r="P475" s="8">
        <v>1</v>
      </c>
    </row>
    <row r="476" spans="1:16" x14ac:dyDescent="0.15">
      <c r="A476" s="7" t="s">
        <v>715</v>
      </c>
      <c r="B476" s="9" t="str">
        <f>VLOOKUP(D476,[1]TASMaps!$H$4:$K$269,3,FALSE)</f>
        <v>TK09</v>
      </c>
      <c r="C476" s="9" t="str">
        <f>VLOOKUP(D476,[1]TASMaps!$H$4:$K$269,4,FALSE)</f>
        <v>Ben Lomond</v>
      </c>
      <c r="D476" s="9">
        <v>5639</v>
      </c>
      <c r="E476" s="9" t="s">
        <v>155</v>
      </c>
      <c r="F476" s="9" t="s">
        <v>30</v>
      </c>
      <c r="G476" s="9" t="s">
        <v>78</v>
      </c>
      <c r="H476" s="8" t="s">
        <v>20</v>
      </c>
      <c r="I476" s="10">
        <v>561535</v>
      </c>
      <c r="J476" s="10">
        <v>5393920</v>
      </c>
      <c r="K476" s="11">
        <v>-41.604059999999997</v>
      </c>
      <c r="L476" s="11">
        <v>147.73846</v>
      </c>
      <c r="N476" s="8" t="s">
        <v>37</v>
      </c>
      <c r="P476" s="8">
        <v>1</v>
      </c>
    </row>
    <row r="477" spans="1:16" x14ac:dyDescent="0.15">
      <c r="A477" s="9" t="s">
        <v>716</v>
      </c>
      <c r="B477" s="9" t="str">
        <f>VLOOKUP(D477,[1]TASMaps!$H$4:$K$269,3,FALSE)</f>
        <v>TR09</v>
      </c>
      <c r="C477" s="9" t="str">
        <f>VLOOKUP(D477,[1]TASMaps!$H$4:$K$269,4,FALSE)</f>
        <v>Tasman Peninsula</v>
      </c>
      <c r="D477" s="9">
        <v>5522</v>
      </c>
      <c r="E477" s="9" t="s">
        <v>82</v>
      </c>
      <c r="F477" s="9" t="s">
        <v>30</v>
      </c>
      <c r="G477" s="9" t="s">
        <v>83</v>
      </c>
      <c r="H477" s="8" t="s">
        <v>20</v>
      </c>
      <c r="I477" s="10">
        <v>565560</v>
      </c>
      <c r="J477" s="10">
        <v>5226390</v>
      </c>
      <c r="K477" s="11">
        <v>-43.112380000000002</v>
      </c>
      <c r="L477" s="11">
        <v>147.8058</v>
      </c>
      <c r="N477" s="8" t="s">
        <v>37</v>
      </c>
      <c r="P477" s="8">
        <v>1</v>
      </c>
    </row>
    <row r="478" spans="1:16" x14ac:dyDescent="0.15">
      <c r="A478" s="7" t="s">
        <v>717</v>
      </c>
      <c r="B478" s="9" t="str">
        <f>VLOOKUP(D478,[1]TASMaps!$H$4:$K$269,3,FALSE)</f>
        <v>TQ05</v>
      </c>
      <c r="C478" s="9" t="str">
        <f>VLOOKUP(D478,[1]TASMaps!$H$4:$K$269,4,FALSE)</f>
        <v>Dohertys</v>
      </c>
      <c r="D478" s="9">
        <v>4025</v>
      </c>
      <c r="E478" s="9" t="s">
        <v>425</v>
      </c>
      <c r="F478" s="9" t="s">
        <v>23</v>
      </c>
      <c r="G478" s="9" t="s">
        <v>19</v>
      </c>
      <c r="H478" s="8" t="s">
        <v>20</v>
      </c>
      <c r="I478" s="10">
        <v>416190</v>
      </c>
      <c r="J478" s="10">
        <v>5254250</v>
      </c>
      <c r="K478" s="11">
        <v>-42.859740000000002</v>
      </c>
      <c r="L478" s="11">
        <v>145.97409999999999</v>
      </c>
      <c r="N478" s="8" t="s">
        <v>37</v>
      </c>
      <c r="O478" s="8">
        <v>2</v>
      </c>
      <c r="P478" s="8">
        <v>2</v>
      </c>
    </row>
    <row r="479" spans="1:16" x14ac:dyDescent="0.15">
      <c r="A479" s="7" t="s">
        <v>718</v>
      </c>
      <c r="B479" s="9" t="str">
        <f>VLOOKUP(D479,[1]TASMaps!$H$4:$K$269,3,FALSE)</f>
        <v>TS07</v>
      </c>
      <c r="C479" s="9" t="str">
        <f>VLOOKUP(D479,[1]TASMaps!$H$4:$K$269,4,FALSE)</f>
        <v>Adamsons</v>
      </c>
      <c r="D479" s="9">
        <v>4618</v>
      </c>
      <c r="E479" s="9" t="s">
        <v>343</v>
      </c>
      <c r="F479" s="9" t="s">
        <v>30</v>
      </c>
      <c r="G479" s="9" t="s">
        <v>27</v>
      </c>
      <c r="H479" s="8" t="s">
        <v>20</v>
      </c>
      <c r="I479" s="10">
        <v>479200</v>
      </c>
      <c r="J479" s="10">
        <v>5183170</v>
      </c>
      <c r="K479" s="11">
        <v>-43.504109999999997</v>
      </c>
      <c r="L479" s="11">
        <v>146.74270000000001</v>
      </c>
      <c r="M479" s="8" t="s">
        <v>21</v>
      </c>
      <c r="N479" s="8">
        <v>4</v>
      </c>
      <c r="O479" s="8">
        <v>4</v>
      </c>
      <c r="P479" s="8">
        <v>5</v>
      </c>
    </row>
    <row r="480" spans="1:16" x14ac:dyDescent="0.15">
      <c r="A480" s="9" t="s">
        <v>719</v>
      </c>
      <c r="B480" s="9" t="str">
        <f>VLOOKUP(D480,[1]TASMaps!$H$4:$K$269,3,FALSE)</f>
        <v>TS07</v>
      </c>
      <c r="C480" s="9" t="str">
        <f>VLOOKUP(D480,[1]TASMaps!$H$4:$K$269,4,FALSE)</f>
        <v>Adamsons</v>
      </c>
      <c r="D480" s="9">
        <v>4618</v>
      </c>
      <c r="E480" s="9" t="s">
        <v>343</v>
      </c>
      <c r="F480" s="9" t="s">
        <v>30</v>
      </c>
      <c r="G480" s="9" t="s">
        <v>27</v>
      </c>
      <c r="H480" s="8" t="s">
        <v>20</v>
      </c>
      <c r="I480" s="10">
        <v>475630</v>
      </c>
      <c r="J480" s="10">
        <v>5183190</v>
      </c>
      <c r="K480" s="11">
        <v>-43.503819999999997</v>
      </c>
      <c r="L480" s="11">
        <v>146.69854000000001</v>
      </c>
      <c r="N480" s="8" t="s">
        <v>37</v>
      </c>
      <c r="P480" s="8">
        <v>1</v>
      </c>
    </row>
    <row r="481" spans="1:16" x14ac:dyDescent="0.15">
      <c r="A481" s="7" t="s">
        <v>720</v>
      </c>
      <c r="B481" s="9" t="str">
        <f>VLOOKUP(D481,[1]TASMaps!$H$4:$K$269,3,FALSE)</f>
        <v>TP07</v>
      </c>
      <c r="C481" s="9" t="str">
        <f>VLOOKUP(D481,[1]TASMaps!$H$4:$K$269,4,FALSE)</f>
        <v>Meadowbank</v>
      </c>
      <c r="D481" s="9">
        <v>4627</v>
      </c>
      <c r="E481" s="9" t="s">
        <v>233</v>
      </c>
      <c r="F481" s="9" t="s">
        <v>30</v>
      </c>
      <c r="G481" s="9" t="s">
        <v>19</v>
      </c>
      <c r="H481" s="8" t="s">
        <v>20</v>
      </c>
      <c r="I481" s="10">
        <v>470280</v>
      </c>
      <c r="J481" s="10">
        <v>5276043</v>
      </c>
      <c r="K481" s="11">
        <v>-42.66751</v>
      </c>
      <c r="L481" s="11">
        <v>146.63731999999999</v>
      </c>
      <c r="N481" s="8" t="s">
        <v>37</v>
      </c>
      <c r="P481" s="8">
        <v>1</v>
      </c>
    </row>
    <row r="482" spans="1:16" x14ac:dyDescent="0.15">
      <c r="A482" s="9" t="s">
        <v>721</v>
      </c>
      <c r="B482" s="9" t="str">
        <f>VLOOKUP(D482,[1]TASMaps!$H$4:$K$269,3,FALSE)</f>
        <v>TM06</v>
      </c>
      <c r="C482" s="9" t="str">
        <f>VLOOKUP(D482,[1]TASMaps!$H$4:$K$269,4,FALSE)</f>
        <v>St Clair</v>
      </c>
      <c r="D482" s="9">
        <v>4234</v>
      </c>
      <c r="E482" s="9" t="s">
        <v>259</v>
      </c>
      <c r="F482" s="9" t="s">
        <v>18</v>
      </c>
      <c r="G482" s="9" t="s">
        <v>36</v>
      </c>
      <c r="H482" s="8" t="s">
        <v>20</v>
      </c>
      <c r="I482" s="10">
        <v>424350</v>
      </c>
      <c r="J482" s="10">
        <v>5346035</v>
      </c>
      <c r="K482" s="11">
        <v>-42.034089999999999</v>
      </c>
      <c r="L482" s="11">
        <v>146.08606</v>
      </c>
      <c r="N482" s="8" t="s">
        <v>37</v>
      </c>
      <c r="P482" s="8">
        <v>1</v>
      </c>
    </row>
    <row r="483" spans="1:16" x14ac:dyDescent="0.15">
      <c r="A483" s="7" t="s">
        <v>722</v>
      </c>
      <c r="B483" s="9" t="str">
        <f>VLOOKUP(D483,[1]TASMaps!$H$4:$K$269,3,FALSE)</f>
        <v>TP07</v>
      </c>
      <c r="C483" s="9" t="str">
        <f>VLOOKUP(D483,[1]TASMaps!$H$4:$K$269,4,FALSE)</f>
        <v>Meadowbank</v>
      </c>
      <c r="D483" s="9">
        <v>4628</v>
      </c>
      <c r="E483" s="9" t="s">
        <v>240</v>
      </c>
      <c r="F483" s="9" t="s">
        <v>23</v>
      </c>
      <c r="G483" s="9" t="s">
        <v>36</v>
      </c>
      <c r="H483" s="8" t="s">
        <v>20</v>
      </c>
      <c r="I483" s="10">
        <v>460580</v>
      </c>
      <c r="J483" s="10">
        <v>5284200</v>
      </c>
      <c r="K483" s="11">
        <v>-42.593620000000001</v>
      </c>
      <c r="L483" s="11">
        <v>146.51952</v>
      </c>
      <c r="N483" s="8" t="s">
        <v>37</v>
      </c>
      <c r="O483" s="8">
        <v>1</v>
      </c>
      <c r="P483" s="8">
        <v>1</v>
      </c>
    </row>
    <row r="484" spans="1:16" x14ac:dyDescent="0.15">
      <c r="A484" s="7" t="s">
        <v>723</v>
      </c>
      <c r="B484" s="9" t="str">
        <f>VLOOKUP(D484,[1]TASMaps!$H$4:$K$269,3,FALSE)</f>
        <v>TM05</v>
      </c>
      <c r="C484" s="9" t="str">
        <f>VLOOKUP(D484,[1]TASMaps!$H$4:$K$269,4,FALSE)</f>
        <v>Eldon</v>
      </c>
      <c r="D484" s="9">
        <v>4034</v>
      </c>
      <c r="E484" s="9" t="s">
        <v>270</v>
      </c>
      <c r="F484" s="9" t="s">
        <v>18</v>
      </c>
      <c r="G484" s="9" t="s">
        <v>24</v>
      </c>
      <c r="H484" s="8" t="s">
        <v>20</v>
      </c>
      <c r="I484" s="10">
        <v>402360</v>
      </c>
      <c r="J484" s="10">
        <v>5344960</v>
      </c>
      <c r="K484" s="11">
        <v>-42.041339999999998</v>
      </c>
      <c r="L484" s="11">
        <v>145.82026999999999</v>
      </c>
      <c r="N484" s="8" t="s">
        <v>37</v>
      </c>
      <c r="O484" s="8">
        <v>1</v>
      </c>
      <c r="P484" s="8">
        <v>1</v>
      </c>
    </row>
    <row r="485" spans="1:16" x14ac:dyDescent="0.15">
      <c r="A485" s="7" t="s">
        <v>724</v>
      </c>
      <c r="B485" s="9" t="str">
        <f>VLOOKUP(D485,[1]TASMaps!$H$4:$K$269,3,FALSE)</f>
        <v>TM06</v>
      </c>
      <c r="C485" s="9" t="str">
        <f>VLOOKUP(D485,[1]TASMaps!$H$4:$K$269,4,FALSE)</f>
        <v>St Clair</v>
      </c>
      <c r="D485" s="9">
        <v>4435</v>
      </c>
      <c r="E485" s="9" t="s">
        <v>508</v>
      </c>
      <c r="F485" s="9" t="s">
        <v>18</v>
      </c>
      <c r="G485" s="9" t="s">
        <v>36</v>
      </c>
      <c r="H485" s="8" t="s">
        <v>20</v>
      </c>
      <c r="I485" s="10">
        <v>445620</v>
      </c>
      <c r="J485" s="10">
        <v>5354140</v>
      </c>
      <c r="K485" s="11">
        <v>-41.962850000000003</v>
      </c>
      <c r="L485" s="11">
        <v>146.34376</v>
      </c>
      <c r="N485" s="8" t="s">
        <v>37</v>
      </c>
      <c r="O485" s="8">
        <v>1</v>
      </c>
      <c r="P485" s="8">
        <v>1</v>
      </c>
    </row>
    <row r="486" spans="1:16" x14ac:dyDescent="0.15">
      <c r="A486" s="7" t="s">
        <v>725</v>
      </c>
      <c r="B486" s="9" t="str">
        <f>VLOOKUP(D486,[1]TASMaps!$H$4:$K$269,3,FALSE)</f>
        <v>TP05</v>
      </c>
      <c r="C486" s="9" t="str">
        <f>VLOOKUP(D486,[1]TASMaps!$H$4:$K$269,4,FALSE)</f>
        <v>Princess Range</v>
      </c>
      <c r="D486" s="9">
        <v>3828</v>
      </c>
      <c r="E486" s="9" t="s">
        <v>441</v>
      </c>
      <c r="F486" s="9" t="s">
        <v>30</v>
      </c>
      <c r="G486" s="9" t="s">
        <v>24</v>
      </c>
      <c r="H486" s="8" t="s">
        <v>20</v>
      </c>
      <c r="I486" s="10">
        <v>385260</v>
      </c>
      <c r="J486" s="10">
        <v>5287030</v>
      </c>
      <c r="K486" s="11">
        <v>-42.560609999999997</v>
      </c>
      <c r="L486" s="11">
        <v>145.60221999999999</v>
      </c>
      <c r="N486" s="8" t="s">
        <v>37</v>
      </c>
      <c r="O486" s="8">
        <v>1</v>
      </c>
      <c r="P486" s="8">
        <v>1</v>
      </c>
    </row>
    <row r="487" spans="1:16" x14ac:dyDescent="0.15">
      <c r="A487" s="7" t="s">
        <v>726</v>
      </c>
      <c r="B487" s="9" t="str">
        <f>VLOOKUP(D487,[1]TASMaps!$H$4:$K$269,3,FALSE)</f>
        <v>TR06</v>
      </c>
      <c r="C487" s="9" t="str">
        <f>VLOOKUP(D487,[1]TASMaps!$H$4:$K$269,4,FALSE)</f>
        <v>Western Arthur</v>
      </c>
      <c r="D487" s="9">
        <v>4221</v>
      </c>
      <c r="E487" s="9" t="s">
        <v>226</v>
      </c>
      <c r="F487" s="9" t="s">
        <v>30</v>
      </c>
      <c r="G487" s="9" t="s">
        <v>27</v>
      </c>
      <c r="H487" s="8" t="s">
        <v>20</v>
      </c>
      <c r="I487" s="10">
        <v>427790</v>
      </c>
      <c r="J487" s="10">
        <v>5212690</v>
      </c>
      <c r="K487" s="11">
        <v>-43.235129999999998</v>
      </c>
      <c r="L487" s="11">
        <v>146.11068</v>
      </c>
      <c r="N487" s="8" t="s">
        <v>37</v>
      </c>
      <c r="O487" s="8">
        <v>2</v>
      </c>
      <c r="P487" s="8">
        <v>2</v>
      </c>
    </row>
    <row r="488" spans="1:16" x14ac:dyDescent="0.15">
      <c r="A488" s="7" t="s">
        <v>727</v>
      </c>
      <c r="B488" s="9" t="str">
        <f>VLOOKUP(D488,[1]TASMaps!$H$4:$K$269,3,FALSE)</f>
        <v>TK09</v>
      </c>
      <c r="C488" s="9" t="str">
        <f>VLOOKUP(D488,[1]TASMaps!$H$4:$K$269,4,FALSE)</f>
        <v>Ben Lomond</v>
      </c>
      <c r="D488" s="9">
        <v>5440</v>
      </c>
      <c r="E488" s="9" t="s">
        <v>320</v>
      </c>
      <c r="F488" s="9" t="s">
        <v>30</v>
      </c>
      <c r="G488" s="9" t="s">
        <v>78</v>
      </c>
      <c r="H488" s="8" t="s">
        <v>20</v>
      </c>
      <c r="I488" s="10">
        <v>554960</v>
      </c>
      <c r="J488" s="10">
        <v>5401840</v>
      </c>
      <c r="K488" s="11">
        <v>-41.533200000000001</v>
      </c>
      <c r="L488" s="11">
        <v>147.65882999999999</v>
      </c>
      <c r="M488" s="8" t="s">
        <v>21</v>
      </c>
      <c r="N488" s="8" t="s">
        <v>37</v>
      </c>
      <c r="O488" s="8">
        <v>1</v>
      </c>
      <c r="P488" s="8">
        <v>1</v>
      </c>
    </row>
    <row r="489" spans="1:16" x14ac:dyDescent="0.15">
      <c r="A489" s="7" t="s">
        <v>728</v>
      </c>
      <c r="B489" s="9" t="str">
        <f>VLOOKUP(D489,[1]TASMaps!$H$4:$K$269,3,FALSE)</f>
        <v>TS07</v>
      </c>
      <c r="C489" s="9" t="str">
        <f>VLOOKUP(D489,[1]TASMaps!$H$4:$K$269,4,FALSE)</f>
        <v>Adamsons</v>
      </c>
      <c r="D489" s="9">
        <v>4818</v>
      </c>
      <c r="E489" s="9" t="s">
        <v>639</v>
      </c>
      <c r="F489" s="9" t="s">
        <v>30</v>
      </c>
      <c r="G489" s="9" t="s">
        <v>27</v>
      </c>
      <c r="H489" s="8" t="s">
        <v>20</v>
      </c>
      <c r="I489" s="10">
        <v>483940</v>
      </c>
      <c r="J489" s="10">
        <v>5181490</v>
      </c>
      <c r="K489" s="11">
        <v>-43.519350000000003</v>
      </c>
      <c r="L489" s="11">
        <v>146.80127999999999</v>
      </c>
      <c r="N489" s="8" t="s">
        <v>37</v>
      </c>
      <c r="O489" s="8">
        <v>2</v>
      </c>
      <c r="P489" s="8">
        <v>2</v>
      </c>
    </row>
    <row r="490" spans="1:16" x14ac:dyDescent="0.15">
      <c r="A490" s="9" t="s">
        <v>729</v>
      </c>
      <c r="B490" s="9" t="str">
        <f>VLOOKUP(D490,[1]TASMaps!$H$4:$K$269,3,FALSE)</f>
        <v>TJ05</v>
      </c>
      <c r="C490" s="9" t="str">
        <f>VLOOKUP(D490,[1]TASMaps!$H$4:$K$269,4,FALSE)</f>
        <v>Emu River</v>
      </c>
      <c r="D490" s="9">
        <v>3843</v>
      </c>
      <c r="E490" s="9" t="s">
        <v>730</v>
      </c>
      <c r="F490" s="9" t="s">
        <v>30</v>
      </c>
      <c r="G490" s="9" t="s">
        <v>117</v>
      </c>
      <c r="H490" s="8" t="s">
        <v>20</v>
      </c>
      <c r="I490" s="10">
        <v>386360</v>
      </c>
      <c r="J490" s="10">
        <v>5437420</v>
      </c>
      <c r="K490" s="11">
        <v>-41.206620000000001</v>
      </c>
      <c r="L490" s="11">
        <v>145.64455000000001</v>
      </c>
      <c r="N490" s="8" t="s">
        <v>37</v>
      </c>
      <c r="P490" s="8">
        <v>1</v>
      </c>
    </row>
    <row r="491" spans="1:16" x14ac:dyDescent="0.15">
      <c r="A491" s="7" t="s">
        <v>731</v>
      </c>
      <c r="B491" s="9" t="str">
        <f>VLOOKUP(D491,[1]TASMaps!$H$4:$K$269,3,FALSE)</f>
        <v>TD10</v>
      </c>
      <c r="C491" s="9" t="str">
        <f>VLOOKUP(D491,[1]TASMaps!$H$4:$K$269,4,FALSE)</f>
        <v>Babel</v>
      </c>
      <c r="D491" s="9">
        <v>5856</v>
      </c>
      <c r="E491" s="9" t="s">
        <v>732</v>
      </c>
      <c r="F491" s="9" t="s">
        <v>30</v>
      </c>
      <c r="G491" s="9" t="s">
        <v>151</v>
      </c>
      <c r="H491" s="8" t="s">
        <v>20</v>
      </c>
      <c r="I491" s="10">
        <v>593530</v>
      </c>
      <c r="J491" s="10">
        <v>5563590</v>
      </c>
      <c r="K491" s="11">
        <v>-40.072769999999998</v>
      </c>
      <c r="L491" s="11">
        <v>148.09687</v>
      </c>
      <c r="N491" s="8" t="s">
        <v>37</v>
      </c>
      <c r="O491" s="8">
        <v>1</v>
      </c>
      <c r="P491" s="8">
        <v>1</v>
      </c>
    </row>
    <row r="492" spans="1:16" x14ac:dyDescent="0.15">
      <c r="A492" s="7" t="s">
        <v>733</v>
      </c>
      <c r="B492" s="9" t="str">
        <f>VLOOKUP(D492,[1]TASMaps!$H$4:$K$269,3,FALSE)</f>
        <v>TQ05</v>
      </c>
      <c r="C492" s="9" t="str">
        <f>VLOOKUP(D492,[1]TASMaps!$H$4:$K$269,4,FALSE)</f>
        <v>Dohertys</v>
      </c>
      <c r="D492" s="9">
        <v>3826</v>
      </c>
      <c r="E492" s="9" t="s">
        <v>734</v>
      </c>
      <c r="F492" s="9" t="s">
        <v>30</v>
      </c>
      <c r="G492" s="9" t="s">
        <v>24</v>
      </c>
      <c r="H492" s="8" t="s">
        <v>20</v>
      </c>
      <c r="I492" s="10">
        <v>393730</v>
      </c>
      <c r="J492" s="10">
        <v>5269890</v>
      </c>
      <c r="K492" s="11">
        <v>-42.716140000000003</v>
      </c>
      <c r="L492" s="11">
        <v>145.70217</v>
      </c>
      <c r="N492" s="8" t="s">
        <v>37</v>
      </c>
      <c r="O492" s="8">
        <v>2</v>
      </c>
      <c r="P492" s="8">
        <v>2</v>
      </c>
    </row>
    <row r="493" spans="1:16" x14ac:dyDescent="0.15">
      <c r="A493" s="7" t="s">
        <v>735</v>
      </c>
      <c r="B493" s="9" t="str">
        <f>VLOOKUP(D493,[1]TASMaps!$H$4:$K$269,3,FALSE)</f>
        <v>TL07</v>
      </c>
      <c r="C493" s="9" t="str">
        <f>VLOOKUP(D493,[1]TASMaps!$H$4:$K$269,4,FALSE)</f>
        <v>Breton</v>
      </c>
      <c r="D493" s="9">
        <v>4638</v>
      </c>
      <c r="E493" s="9" t="s">
        <v>73</v>
      </c>
      <c r="F493" s="9" t="s">
        <v>135</v>
      </c>
      <c r="G493" s="9" t="s">
        <v>33</v>
      </c>
      <c r="H493" s="8" t="s">
        <v>20</v>
      </c>
      <c r="I493" s="10">
        <v>477780</v>
      </c>
      <c r="J493" s="10">
        <v>5380130</v>
      </c>
      <c r="K493" s="11">
        <v>-41.730330000000002</v>
      </c>
      <c r="L493" s="11">
        <v>146.73282</v>
      </c>
      <c r="N493" s="8" t="s">
        <v>37</v>
      </c>
      <c r="O493" s="8">
        <v>1</v>
      </c>
      <c r="P493" s="8">
        <v>1</v>
      </c>
    </row>
    <row r="494" spans="1:16" x14ac:dyDescent="0.15">
      <c r="A494" s="7" t="s">
        <v>736</v>
      </c>
      <c r="B494" s="9" t="str">
        <f>VLOOKUP(D494,[1]TASMaps!$H$4:$K$269,3,FALSE)</f>
        <v>TQ06</v>
      </c>
      <c r="C494" s="9" t="str">
        <f>VLOOKUP(D494,[1]TASMaps!$H$4:$K$269,4,FALSE)</f>
        <v>Lake Pedder</v>
      </c>
      <c r="D494" s="9">
        <v>4424</v>
      </c>
      <c r="E494" s="9" t="s">
        <v>69</v>
      </c>
      <c r="F494" s="9" t="s">
        <v>116</v>
      </c>
      <c r="G494" s="9" t="s">
        <v>19</v>
      </c>
      <c r="H494" s="8" t="s">
        <v>20</v>
      </c>
      <c r="I494" s="10">
        <v>454570</v>
      </c>
      <c r="J494" s="10">
        <v>5244390</v>
      </c>
      <c r="K494" s="11">
        <v>-42.951779999999999</v>
      </c>
      <c r="L494" s="11">
        <v>146.44307000000001</v>
      </c>
      <c r="M494" s="8" t="s">
        <v>21</v>
      </c>
      <c r="N494" s="8" t="s">
        <v>37</v>
      </c>
      <c r="P494" s="8">
        <v>5</v>
      </c>
    </row>
    <row r="495" spans="1:16" x14ac:dyDescent="0.15">
      <c r="A495" s="7" t="s">
        <v>737</v>
      </c>
      <c r="B495" s="9" t="str">
        <f>VLOOKUP(D495,[1]TASMaps!$H$4:$K$269,3,FALSE)</f>
        <v>TK03</v>
      </c>
      <c r="C495" s="9" t="str">
        <f>VLOOKUP(D495,[1]TASMaps!$H$4:$K$269,4,FALSE)</f>
        <v>Norfolk Range</v>
      </c>
      <c r="D495" s="9">
        <v>3241</v>
      </c>
      <c r="E495" s="9" t="s">
        <v>216</v>
      </c>
      <c r="F495" s="9" t="s">
        <v>30</v>
      </c>
      <c r="G495" s="9" t="s">
        <v>107</v>
      </c>
      <c r="H495" s="8" t="s">
        <v>20</v>
      </c>
      <c r="I495" s="10">
        <v>327810</v>
      </c>
      <c r="J495" s="10">
        <v>5415830</v>
      </c>
      <c r="K495" s="11">
        <v>-41.390619999999998</v>
      </c>
      <c r="L495" s="11">
        <v>144.94044</v>
      </c>
      <c r="N495" s="8" t="s">
        <v>37</v>
      </c>
      <c r="P495" s="8">
        <v>1</v>
      </c>
    </row>
    <row r="496" spans="1:16" x14ac:dyDescent="0.15">
      <c r="A496" s="9" t="s">
        <v>738</v>
      </c>
      <c r="B496" s="9" t="str">
        <f>VLOOKUP(D496,[1]TASMaps!$H$4:$K$269,3,FALSE)</f>
        <v>TL04</v>
      </c>
      <c r="C496" s="9" t="str">
        <f>VLOOKUP(D496,[1]TASMaps!$H$4:$K$269,4,FALSE)</f>
        <v>Lake Pieman</v>
      </c>
      <c r="D496" s="9">
        <v>3438</v>
      </c>
      <c r="E496" s="9" t="s">
        <v>739</v>
      </c>
      <c r="F496" s="9" t="s">
        <v>30</v>
      </c>
      <c r="G496" s="9" t="s">
        <v>24</v>
      </c>
      <c r="H496" s="8" t="s">
        <v>20</v>
      </c>
      <c r="I496" s="10">
        <v>359970</v>
      </c>
      <c r="J496" s="10">
        <v>5381930</v>
      </c>
      <c r="K496" s="11">
        <v>-41.702089999999998</v>
      </c>
      <c r="L496" s="11">
        <v>145.31702999999999</v>
      </c>
      <c r="N496" s="8" t="s">
        <v>37</v>
      </c>
      <c r="P496" s="8">
        <v>1</v>
      </c>
    </row>
    <row r="497" spans="1:16" x14ac:dyDescent="0.15">
      <c r="A497" s="7" t="s">
        <v>740</v>
      </c>
      <c r="B497" s="9" t="str">
        <f>VLOOKUP(D497,[1]TASMaps!$H$4:$K$269,3,FALSE)</f>
        <v>TQ06</v>
      </c>
      <c r="C497" s="9" t="str">
        <f>VLOOKUP(D497,[1]TASMaps!$H$4:$K$269,4,FALSE)</f>
        <v>Lake Pedder</v>
      </c>
      <c r="D497" s="9">
        <v>4224</v>
      </c>
      <c r="E497" s="9" t="s">
        <v>300</v>
      </c>
      <c r="F497" s="9" t="s">
        <v>30</v>
      </c>
      <c r="G497" s="9" t="s">
        <v>19</v>
      </c>
      <c r="H497" s="8" t="s">
        <v>20</v>
      </c>
      <c r="I497" s="10">
        <v>423490</v>
      </c>
      <c r="J497" s="10">
        <v>5244600</v>
      </c>
      <c r="K497" s="11">
        <v>-42.947400000000002</v>
      </c>
      <c r="L497" s="11">
        <v>146.06213</v>
      </c>
      <c r="N497" s="8" t="s">
        <v>37</v>
      </c>
      <c r="O497" s="8">
        <v>2</v>
      </c>
      <c r="P497" s="8">
        <v>2</v>
      </c>
    </row>
    <row r="498" spans="1:16" x14ac:dyDescent="0.15">
      <c r="A498" s="9" t="s">
        <v>741</v>
      </c>
      <c r="B498" s="9" t="str">
        <f>VLOOKUP(D498,[1]TASMaps!$H$4:$K$269,3,FALSE)</f>
        <v>TN06</v>
      </c>
      <c r="C498" s="9" t="str">
        <f>VLOOKUP(D498,[1]TASMaps!$H$4:$K$269,4,FALSE)</f>
        <v>King William</v>
      </c>
      <c r="D498" s="9">
        <v>4231</v>
      </c>
      <c r="E498" s="9" t="s">
        <v>361</v>
      </c>
      <c r="F498" s="9" t="s">
        <v>30</v>
      </c>
      <c r="G498" s="9" t="s">
        <v>36</v>
      </c>
      <c r="H498" s="8" t="s">
        <v>20</v>
      </c>
      <c r="I498" s="10">
        <v>430900</v>
      </c>
      <c r="J498" s="10">
        <v>5315560</v>
      </c>
      <c r="K498" s="11">
        <v>-42.309130000000003</v>
      </c>
      <c r="L498" s="11">
        <v>146.16157000000001</v>
      </c>
      <c r="N498" s="8" t="s">
        <v>37</v>
      </c>
      <c r="P498" s="8">
        <v>1</v>
      </c>
    </row>
    <row r="499" spans="1:16" x14ac:dyDescent="0.15">
      <c r="A499" s="7" t="s">
        <v>742</v>
      </c>
      <c r="B499" s="9" t="str">
        <f>VLOOKUP(D499,[1]TASMaps!$H$4:$K$269,3,FALSE)</f>
        <v>TN05</v>
      </c>
      <c r="C499" s="9" t="str">
        <f>VLOOKUP(D499,[1]TASMaps!$H$4:$K$269,4,FALSE)</f>
        <v>Frenchmans</v>
      </c>
      <c r="D499" s="9">
        <v>4032</v>
      </c>
      <c r="E499" s="9" t="s">
        <v>56</v>
      </c>
      <c r="F499" s="9" t="s">
        <v>30</v>
      </c>
      <c r="G499" s="9" t="s">
        <v>24</v>
      </c>
      <c r="H499" s="8" t="s">
        <v>20</v>
      </c>
      <c r="I499" s="10">
        <v>403640</v>
      </c>
      <c r="J499" s="10">
        <v>5320200</v>
      </c>
      <c r="K499" s="11">
        <v>-42.264449999999997</v>
      </c>
      <c r="L499" s="11">
        <v>145.83163999999999</v>
      </c>
      <c r="N499" s="8" t="s">
        <v>37</v>
      </c>
      <c r="P499" s="8">
        <v>1</v>
      </c>
    </row>
    <row r="500" spans="1:16" x14ac:dyDescent="0.15">
      <c r="A500" s="9" t="s">
        <v>743</v>
      </c>
      <c r="B500" s="9" t="str">
        <f>VLOOKUP(D500,[1]TASMaps!$H$4:$K$269,3,FALSE)</f>
        <v>TL08</v>
      </c>
      <c r="C500" s="9" t="str">
        <f>VLOOKUP(D500,[1]TASMaps!$H$4:$K$269,4,FALSE)</f>
        <v>Hummocky</v>
      </c>
      <c r="D500" s="9">
        <v>5036</v>
      </c>
      <c r="E500" s="9" t="s">
        <v>711</v>
      </c>
      <c r="F500" s="9" t="s">
        <v>18</v>
      </c>
      <c r="G500" s="9" t="s">
        <v>78</v>
      </c>
      <c r="H500" s="8" t="s">
        <v>20</v>
      </c>
      <c r="I500" s="10">
        <v>502620</v>
      </c>
      <c r="J500" s="10">
        <v>5369810</v>
      </c>
      <c r="K500" s="11">
        <v>-41.823590000000003</v>
      </c>
      <c r="L500" s="11">
        <v>147.03155000000001</v>
      </c>
      <c r="N500" s="8" t="s">
        <v>37</v>
      </c>
      <c r="P500" s="8">
        <v>1</v>
      </c>
    </row>
    <row r="501" spans="1:16" x14ac:dyDescent="0.15">
      <c r="A501" s="7" t="s">
        <v>744</v>
      </c>
      <c r="B501" s="9" t="str">
        <f>VLOOKUP(D501,[1]TASMaps!$H$4:$K$269,3,FALSE)</f>
        <v>TR06</v>
      </c>
      <c r="C501" s="9" t="str">
        <f>VLOOKUP(D501,[1]TASMaps!$H$4:$K$269,4,FALSE)</f>
        <v>Western Arthur</v>
      </c>
      <c r="D501" s="9">
        <v>4223</v>
      </c>
      <c r="E501" s="9" t="s">
        <v>318</v>
      </c>
      <c r="F501" s="9" t="s">
        <v>18</v>
      </c>
      <c r="G501" s="9" t="s">
        <v>19</v>
      </c>
      <c r="H501" s="8" t="s">
        <v>20</v>
      </c>
      <c r="I501" s="10">
        <v>423450</v>
      </c>
      <c r="J501" s="10">
        <v>5234370</v>
      </c>
      <c r="K501" s="11">
        <v>-43.039499999999997</v>
      </c>
      <c r="L501" s="11">
        <v>146.06022999999999</v>
      </c>
      <c r="N501" s="8" t="s">
        <v>37</v>
      </c>
      <c r="O501" s="8">
        <v>1</v>
      </c>
      <c r="P501" s="8">
        <v>1</v>
      </c>
    </row>
    <row r="502" spans="1:16" x14ac:dyDescent="0.15">
      <c r="A502" s="9" t="s">
        <v>745</v>
      </c>
      <c r="B502" s="9" t="str">
        <f>VLOOKUP(D502,[1]TASMaps!$H$4:$K$269,3,FALSE)</f>
        <v>TM05</v>
      </c>
      <c r="C502" s="9" t="str">
        <f>VLOOKUP(D502,[1]TASMaps!$H$4:$K$269,4,FALSE)</f>
        <v>Eldon</v>
      </c>
      <c r="D502" s="9">
        <v>3834</v>
      </c>
      <c r="E502" s="9" t="s">
        <v>746</v>
      </c>
      <c r="F502" s="9" t="s">
        <v>30</v>
      </c>
      <c r="G502" s="9" t="s">
        <v>24</v>
      </c>
      <c r="H502" s="8" t="s">
        <v>20</v>
      </c>
      <c r="I502" s="10">
        <v>393540</v>
      </c>
      <c r="J502" s="10">
        <v>5345500</v>
      </c>
      <c r="K502" s="11">
        <v>-42.035339999999998</v>
      </c>
      <c r="L502" s="11">
        <v>145.71382</v>
      </c>
      <c r="N502" s="8" t="s">
        <v>37</v>
      </c>
      <c r="P502" s="8">
        <v>1</v>
      </c>
    </row>
    <row r="503" spans="1:16" x14ac:dyDescent="0.15">
      <c r="A503" s="9" t="s">
        <v>747</v>
      </c>
      <c r="B503" s="9" t="str">
        <f>VLOOKUP(D503,[1]TASMaps!$H$4:$K$269,3,FALSE)</f>
        <v>TL05</v>
      </c>
      <c r="C503" s="9" t="str">
        <f>VLOOKUP(D503,[1]TASMaps!$H$4:$K$269,4,FALSE)</f>
        <v>Murchison</v>
      </c>
      <c r="D503" s="9">
        <v>3837</v>
      </c>
      <c r="E503" s="9" t="s">
        <v>194</v>
      </c>
      <c r="F503" s="9" t="s">
        <v>30</v>
      </c>
      <c r="G503" s="9" t="s">
        <v>24</v>
      </c>
      <c r="H503" s="8" t="s">
        <v>20</v>
      </c>
      <c r="I503" s="10">
        <v>386480</v>
      </c>
      <c r="J503" s="10">
        <v>5375210</v>
      </c>
      <c r="K503" s="11">
        <v>-41.766829999999999</v>
      </c>
      <c r="L503" s="11">
        <v>145.63426999999999</v>
      </c>
      <c r="N503" s="8" t="s">
        <v>37</v>
      </c>
      <c r="P503" s="8">
        <v>1</v>
      </c>
    </row>
    <row r="504" spans="1:16" x14ac:dyDescent="0.15">
      <c r="A504" s="7" t="s">
        <v>748</v>
      </c>
      <c r="B504" s="9" t="str">
        <f>VLOOKUP(D504,[1]TASMaps!$H$4:$K$269,3,FALSE)</f>
        <v>TL05</v>
      </c>
      <c r="C504" s="9" t="str">
        <f>VLOOKUP(D504,[1]TASMaps!$H$4:$K$269,4,FALSE)</f>
        <v>Murchison</v>
      </c>
      <c r="D504" s="9">
        <v>4038</v>
      </c>
      <c r="E504" s="9" t="s">
        <v>90</v>
      </c>
      <c r="F504" s="9" t="s">
        <v>30</v>
      </c>
      <c r="G504" s="9" t="s">
        <v>33</v>
      </c>
      <c r="H504" s="8" t="s">
        <v>20</v>
      </c>
      <c r="I504" s="10">
        <v>413565</v>
      </c>
      <c r="J504" s="10">
        <v>5385715</v>
      </c>
      <c r="K504" s="11">
        <v>-41.675640000000001</v>
      </c>
      <c r="L504" s="11">
        <v>145.96158</v>
      </c>
      <c r="N504" s="8">
        <v>1</v>
      </c>
      <c r="O504" s="8">
        <v>1</v>
      </c>
      <c r="P504" s="8">
        <v>2</v>
      </c>
    </row>
    <row r="505" spans="1:16" x14ac:dyDescent="0.15">
      <c r="A505" s="7" t="s">
        <v>749</v>
      </c>
      <c r="B505" s="9" t="str">
        <f>VLOOKUP(D505,[1]TASMaps!$H$4:$K$269,3,FALSE)</f>
        <v>TM06</v>
      </c>
      <c r="C505" s="9" t="str">
        <f>VLOOKUP(D505,[1]TASMaps!$H$4:$K$269,4,FALSE)</f>
        <v>St Clair</v>
      </c>
      <c r="D505" s="9">
        <v>4233</v>
      </c>
      <c r="E505" s="9" t="s">
        <v>134</v>
      </c>
      <c r="F505" s="9" t="s">
        <v>30</v>
      </c>
      <c r="G505" s="9" t="s">
        <v>36</v>
      </c>
      <c r="H505" s="8" t="s">
        <v>20</v>
      </c>
      <c r="I505" s="10">
        <v>425950</v>
      </c>
      <c r="J505" s="10">
        <v>5340055</v>
      </c>
      <c r="K505" s="11">
        <v>-42.088090000000001</v>
      </c>
      <c r="L505" s="11">
        <v>146.10462999999999</v>
      </c>
      <c r="N505" s="8" t="s">
        <v>37</v>
      </c>
      <c r="O505" s="8">
        <v>1</v>
      </c>
      <c r="P505" s="8">
        <v>1</v>
      </c>
    </row>
    <row r="506" spans="1:16" x14ac:dyDescent="0.15">
      <c r="A506" s="9" t="s">
        <v>750</v>
      </c>
      <c r="B506" s="9" t="str">
        <f>VLOOKUP(D506,[1]TASMaps!$H$4:$K$269,3,FALSE)</f>
        <v>TM05</v>
      </c>
      <c r="C506" s="9" t="str">
        <f>VLOOKUP(D506,[1]TASMaps!$H$4:$K$269,4,FALSE)</f>
        <v>Eldon</v>
      </c>
      <c r="D506" s="9">
        <v>3833</v>
      </c>
      <c r="E506" s="9" t="s">
        <v>473</v>
      </c>
      <c r="F506" s="9" t="s">
        <v>30</v>
      </c>
      <c r="G506" s="9" t="s">
        <v>24</v>
      </c>
      <c r="H506" s="8" t="s">
        <v>20</v>
      </c>
      <c r="I506" s="10">
        <v>382500</v>
      </c>
      <c r="J506" s="10">
        <v>5338870</v>
      </c>
      <c r="K506" s="11">
        <v>-42.09346</v>
      </c>
      <c r="L506" s="11">
        <v>145.57915</v>
      </c>
      <c r="N506" s="8" t="s">
        <v>37</v>
      </c>
      <c r="P506" s="8">
        <v>1</v>
      </c>
    </row>
    <row r="507" spans="1:16" x14ac:dyDescent="0.15">
      <c r="A507" s="9" t="s">
        <v>751</v>
      </c>
      <c r="B507" s="9" t="str">
        <f>VLOOKUP(D507,[1]TASMaps!$H$4:$K$269,3,FALSE)</f>
        <v>TP10</v>
      </c>
      <c r="C507" s="9" t="str">
        <f>VLOOKUP(D507,[1]TASMaps!$H$4:$K$269,4,FALSE)</f>
        <v>Maria</v>
      </c>
      <c r="D507" s="9">
        <v>5828</v>
      </c>
      <c r="E507" s="9" t="s">
        <v>173</v>
      </c>
      <c r="F507" s="9" t="s">
        <v>23</v>
      </c>
      <c r="G507" s="9" t="s">
        <v>62</v>
      </c>
      <c r="H507" s="8" t="s">
        <v>20</v>
      </c>
      <c r="I507" s="10">
        <v>590210</v>
      </c>
      <c r="J507" s="10">
        <v>5280650</v>
      </c>
      <c r="K507" s="11">
        <v>-42.621310000000001</v>
      </c>
      <c r="L507" s="11">
        <v>148.10002</v>
      </c>
      <c r="N507" s="8" t="s">
        <v>37</v>
      </c>
      <c r="P507" s="8">
        <v>1</v>
      </c>
    </row>
    <row r="508" spans="1:16" x14ac:dyDescent="0.15">
      <c r="A508" s="7" t="s">
        <v>752</v>
      </c>
      <c r="B508" s="9" t="str">
        <f>VLOOKUP(D508,[1]TASMaps!$H$4:$K$269,3,FALSE)</f>
        <v>TP08</v>
      </c>
      <c r="C508" s="9" t="str">
        <f>VLOOKUP(D508,[1]TASMaps!$H$4:$K$269,4,FALSE)</f>
        <v>Green Ponds</v>
      </c>
      <c r="D508" s="9">
        <v>5229</v>
      </c>
      <c r="E508" s="9" t="s">
        <v>188</v>
      </c>
      <c r="F508" s="9" t="s">
        <v>30</v>
      </c>
      <c r="G508" s="9" t="s">
        <v>59</v>
      </c>
      <c r="H508" s="8" t="s">
        <v>20</v>
      </c>
      <c r="I508" s="10">
        <v>524500</v>
      </c>
      <c r="J508" s="10">
        <v>5290050</v>
      </c>
      <c r="K508" s="11">
        <v>-42.541550000000001</v>
      </c>
      <c r="L508" s="11">
        <v>147.29837000000001</v>
      </c>
      <c r="N508" s="8" t="s">
        <v>37</v>
      </c>
      <c r="P508" s="8">
        <v>1</v>
      </c>
    </row>
    <row r="509" spans="1:16" x14ac:dyDescent="0.15">
      <c r="A509" s="7" t="s">
        <v>753</v>
      </c>
      <c r="B509" s="9" t="str">
        <f>VLOOKUP(D509,[1]TASMaps!$H$4:$K$269,3,FALSE)</f>
        <v>TL07</v>
      </c>
      <c r="C509" s="9" t="str">
        <f>VLOOKUP(D509,[1]TASMaps!$H$4:$K$269,4,FALSE)</f>
        <v>Breton</v>
      </c>
      <c r="D509" s="9">
        <v>4636</v>
      </c>
      <c r="E509" s="9" t="s">
        <v>324</v>
      </c>
      <c r="F509" s="9" t="s">
        <v>297</v>
      </c>
      <c r="G509" s="9" t="s">
        <v>36</v>
      </c>
      <c r="H509" s="8" t="s">
        <v>20</v>
      </c>
      <c r="I509" s="10">
        <v>460240</v>
      </c>
      <c r="J509" s="10">
        <v>5369000</v>
      </c>
      <c r="K509" s="11">
        <v>-41.829889999999999</v>
      </c>
      <c r="L509" s="11">
        <v>146.52117999999999</v>
      </c>
      <c r="N509" s="8" t="s">
        <v>37</v>
      </c>
      <c r="P509" s="8">
        <v>1</v>
      </c>
    </row>
    <row r="510" spans="1:16" x14ac:dyDescent="0.15">
      <c r="A510" s="7" t="s">
        <v>754</v>
      </c>
      <c r="B510" s="9" t="str">
        <f>VLOOKUP(D510,[1]TASMaps!$H$4:$K$269,3,FALSE)</f>
        <v>TM05</v>
      </c>
      <c r="C510" s="9" t="str">
        <f>VLOOKUP(D510,[1]TASMaps!$H$4:$K$269,4,FALSE)</f>
        <v>Eldon</v>
      </c>
      <c r="D510" s="9">
        <v>4034</v>
      </c>
      <c r="E510" s="9" t="s">
        <v>270</v>
      </c>
      <c r="F510" s="9" t="s">
        <v>18</v>
      </c>
      <c r="G510" s="9" t="s">
        <v>24</v>
      </c>
      <c r="H510" s="8" t="s">
        <v>20</v>
      </c>
      <c r="I510" s="10">
        <v>416870</v>
      </c>
      <c r="J510" s="10">
        <v>5343220</v>
      </c>
      <c r="K510" s="11">
        <v>-42.058680000000003</v>
      </c>
      <c r="L510" s="11">
        <v>145.99530999999999</v>
      </c>
      <c r="N510" s="8" t="s">
        <v>37</v>
      </c>
      <c r="P510" s="8">
        <v>1</v>
      </c>
    </row>
    <row r="511" spans="1:16" x14ac:dyDescent="0.15">
      <c r="A511" s="7" t="s">
        <v>755</v>
      </c>
      <c r="B511" s="9" t="str">
        <f>VLOOKUP(D511,[1]TASMaps!$H$4:$K$269,3,FALSE)</f>
        <v>TL06</v>
      </c>
      <c r="C511" s="9" t="str">
        <f>VLOOKUP(D511,[1]TASMaps!$H$4:$K$269,4,FALSE)</f>
        <v>Jerusalem</v>
      </c>
      <c r="D511" s="9">
        <v>4437</v>
      </c>
      <c r="E511" s="9" t="s">
        <v>448</v>
      </c>
      <c r="F511" s="9" t="s">
        <v>18</v>
      </c>
      <c r="G511" s="9" t="s">
        <v>756</v>
      </c>
      <c r="H511" s="8" t="s">
        <v>20</v>
      </c>
      <c r="I511" s="10">
        <v>449320</v>
      </c>
      <c r="J511" s="10">
        <v>5378500</v>
      </c>
      <c r="K511" s="11">
        <v>-41.743699999999997</v>
      </c>
      <c r="L511" s="11">
        <v>146.39049</v>
      </c>
      <c r="N511" s="8" t="s">
        <v>37</v>
      </c>
      <c r="P511" s="8">
        <v>1</v>
      </c>
    </row>
    <row r="512" spans="1:16" x14ac:dyDescent="0.15">
      <c r="A512" s="7" t="s">
        <v>757</v>
      </c>
      <c r="B512" s="9" t="str">
        <f>VLOOKUP(D512,[1]TASMaps!$H$4:$K$269,3,FALSE)</f>
        <v>TJ10</v>
      </c>
      <c r="C512" s="9" t="str">
        <f>VLOOKUP(D512,[1]TASMaps!$H$4:$K$269,4,FALSE)</f>
        <v>Bay of Fires</v>
      </c>
      <c r="D512" s="9">
        <v>5843</v>
      </c>
      <c r="E512" s="9" t="s">
        <v>758</v>
      </c>
      <c r="F512" s="9" t="s">
        <v>30</v>
      </c>
      <c r="G512" s="9" t="s">
        <v>44</v>
      </c>
      <c r="H512" s="8" t="s">
        <v>20</v>
      </c>
      <c r="I512" s="10">
        <v>581640</v>
      </c>
      <c r="J512" s="10">
        <v>5438320</v>
      </c>
      <c r="K512" s="11">
        <v>-41.202370000000002</v>
      </c>
      <c r="L512" s="11">
        <v>147.97371000000001</v>
      </c>
      <c r="N512" s="8" t="s">
        <v>37</v>
      </c>
      <c r="O512" s="8">
        <v>1</v>
      </c>
      <c r="P512" s="8">
        <v>1</v>
      </c>
    </row>
    <row r="513" spans="1:16" x14ac:dyDescent="0.15">
      <c r="A513" s="7" t="s">
        <v>759</v>
      </c>
      <c r="B513" s="9" t="str">
        <f>VLOOKUP(D513,[1]TASMaps!$H$4:$K$269,3,FALSE)</f>
        <v>TL04</v>
      </c>
      <c r="C513" s="9" t="str">
        <f>VLOOKUP(D513,[1]TASMaps!$H$4:$K$269,4,FALSE)</f>
        <v>Lake Pieman</v>
      </c>
      <c r="D513" s="9">
        <v>3438</v>
      </c>
      <c r="E513" s="9" t="s">
        <v>739</v>
      </c>
      <c r="F513" s="9" t="s">
        <v>30</v>
      </c>
      <c r="G513" s="9" t="s">
        <v>24</v>
      </c>
      <c r="H513" s="8" t="s">
        <v>20</v>
      </c>
      <c r="I513" s="10">
        <v>356040</v>
      </c>
      <c r="J513" s="10">
        <v>5384470</v>
      </c>
      <c r="K513" s="11">
        <v>-41.678519999999999</v>
      </c>
      <c r="L513" s="11">
        <v>145.27043</v>
      </c>
      <c r="N513" s="8" t="s">
        <v>37</v>
      </c>
      <c r="O513" s="8">
        <v>2</v>
      </c>
      <c r="P513" s="8">
        <v>2</v>
      </c>
    </row>
    <row r="514" spans="1:16" x14ac:dyDescent="0.15">
      <c r="A514" s="7" t="s">
        <v>760</v>
      </c>
      <c r="B514" s="9" t="str">
        <f>VLOOKUP(D514,[1]TASMaps!$H$4:$K$269,3,FALSE)</f>
        <v>TN05</v>
      </c>
      <c r="C514" s="9" t="str">
        <f>VLOOKUP(D514,[1]TASMaps!$H$4:$K$269,4,FALSE)</f>
        <v>Frenchmans</v>
      </c>
      <c r="D514" s="9">
        <v>4030</v>
      </c>
      <c r="E514" s="9" t="s">
        <v>368</v>
      </c>
      <c r="F514" s="9" t="s">
        <v>30</v>
      </c>
      <c r="G514" s="9" t="s">
        <v>24</v>
      </c>
      <c r="H514" s="8" t="s">
        <v>20</v>
      </c>
      <c r="I514" s="10">
        <v>407290</v>
      </c>
      <c r="J514" s="10">
        <v>5309440</v>
      </c>
      <c r="K514" s="11">
        <v>-42.361780000000003</v>
      </c>
      <c r="L514" s="11">
        <v>145.87415999999999</v>
      </c>
      <c r="N514" s="8" t="s">
        <v>37</v>
      </c>
      <c r="P514" s="8">
        <v>1</v>
      </c>
    </row>
    <row r="515" spans="1:16" x14ac:dyDescent="0.15">
      <c r="A515" s="7" t="s">
        <v>761</v>
      </c>
      <c r="B515" s="9" t="str">
        <f>VLOOKUP(D515,[1]TASMaps!$H$4:$K$269,3,FALSE)</f>
        <v>TQ06</v>
      </c>
      <c r="C515" s="9" t="str">
        <f>VLOOKUP(D515,[1]TASMaps!$H$4:$K$269,4,FALSE)</f>
        <v>Lake Pedder</v>
      </c>
      <c r="D515" s="9">
        <v>4224</v>
      </c>
      <c r="E515" s="9" t="s">
        <v>300</v>
      </c>
      <c r="F515" s="9" t="s">
        <v>30</v>
      </c>
      <c r="G515" s="9" t="s">
        <v>19</v>
      </c>
      <c r="H515" s="8" t="s">
        <v>20</v>
      </c>
      <c r="I515" s="10">
        <v>432360</v>
      </c>
      <c r="J515" s="10">
        <v>5240940</v>
      </c>
      <c r="K515" s="11">
        <v>-42.981189999999998</v>
      </c>
      <c r="L515" s="11">
        <v>146.1704</v>
      </c>
      <c r="N515" s="8" t="s">
        <v>37</v>
      </c>
      <c r="O515" s="8">
        <v>2</v>
      </c>
      <c r="P515" s="8">
        <v>2</v>
      </c>
    </row>
    <row r="516" spans="1:16" x14ac:dyDescent="0.15">
      <c r="A516" s="7" t="s">
        <v>762</v>
      </c>
      <c r="B516" s="9" t="str">
        <f>VLOOKUP(D516,[1]TASMaps!$H$4:$K$269,3,FALSE)</f>
        <v>TQ07</v>
      </c>
      <c r="C516" s="9" t="str">
        <f>VLOOKUP(D516,[1]TASMaps!$H$4:$K$269,4,FALSE)</f>
        <v>Snowy Range</v>
      </c>
      <c r="D516" s="9">
        <v>4825</v>
      </c>
      <c r="E516" s="9" t="s">
        <v>696</v>
      </c>
      <c r="F516" s="9" t="s">
        <v>30</v>
      </c>
      <c r="G516" s="9" t="s">
        <v>19</v>
      </c>
      <c r="H516" s="8" t="s">
        <v>20</v>
      </c>
      <c r="I516" s="10">
        <v>496760</v>
      </c>
      <c r="J516" s="10">
        <v>5256400</v>
      </c>
      <c r="K516" s="11">
        <v>-42.844970000000004</v>
      </c>
      <c r="L516" s="11">
        <v>146.96035000000001</v>
      </c>
      <c r="N516" s="8" t="s">
        <v>37</v>
      </c>
      <c r="O516" s="8">
        <v>1</v>
      </c>
      <c r="P516" s="8">
        <v>1</v>
      </c>
    </row>
    <row r="517" spans="1:16" x14ac:dyDescent="0.15">
      <c r="A517" s="7" t="s">
        <v>763</v>
      </c>
      <c r="B517" s="9" t="str">
        <f>VLOOKUP(D517,[1]TASMaps!$H$4:$K$269,3,FALSE)</f>
        <v>TN06</v>
      </c>
      <c r="C517" s="9" t="str">
        <f>VLOOKUP(D517,[1]TASMaps!$H$4:$K$269,4,FALSE)</f>
        <v>King William</v>
      </c>
      <c r="D517" s="9">
        <v>4231</v>
      </c>
      <c r="E517" s="9" t="s">
        <v>361</v>
      </c>
      <c r="F517" s="9" t="s">
        <v>30</v>
      </c>
      <c r="G517" s="9" t="s">
        <v>36</v>
      </c>
      <c r="H517" s="8" t="s">
        <v>20</v>
      </c>
      <c r="I517" s="10">
        <v>425480</v>
      </c>
      <c r="J517" s="10">
        <v>5319300</v>
      </c>
      <c r="K517" s="11">
        <v>-42.274949999999997</v>
      </c>
      <c r="L517" s="11">
        <v>146.09629000000001</v>
      </c>
      <c r="M517" s="8" t="s">
        <v>21</v>
      </c>
      <c r="N517" s="8">
        <v>3</v>
      </c>
      <c r="O517" s="8">
        <v>3</v>
      </c>
      <c r="P517" s="8">
        <v>3</v>
      </c>
    </row>
    <row r="518" spans="1:16" x14ac:dyDescent="0.15">
      <c r="A518" s="9" t="s">
        <v>764</v>
      </c>
      <c r="B518" s="9" t="str">
        <f>VLOOKUP(D518,[1]TASMaps!$H$4:$K$269,3,FALSE)</f>
        <v>TN09</v>
      </c>
      <c r="C518" s="9" t="str">
        <f>VLOOKUP(D518,[1]TASMaps!$H$4:$K$269,4,FALSE)</f>
        <v>Swanston</v>
      </c>
      <c r="D518" s="9">
        <v>5632</v>
      </c>
      <c r="E518" s="9" t="s">
        <v>765</v>
      </c>
      <c r="F518" s="9" t="s">
        <v>30</v>
      </c>
      <c r="G518" s="9" t="s">
        <v>62</v>
      </c>
      <c r="H518" s="8" t="s">
        <v>20</v>
      </c>
      <c r="I518" s="10">
        <v>574780</v>
      </c>
      <c r="J518" s="10">
        <v>5321170</v>
      </c>
      <c r="K518" s="11">
        <v>-42.258090000000003</v>
      </c>
      <c r="L518" s="11">
        <v>147.90662</v>
      </c>
      <c r="N518" s="8" t="s">
        <v>37</v>
      </c>
      <c r="P518" s="8">
        <v>1</v>
      </c>
    </row>
    <row r="519" spans="1:16" x14ac:dyDescent="0.15">
      <c r="A519" s="7" t="s">
        <v>766</v>
      </c>
      <c r="B519" s="9" t="str">
        <f>VLOOKUP(D519,[1]TASMaps!$H$4:$K$269,3,FALSE)</f>
        <v>TK10</v>
      </c>
      <c r="C519" s="9" t="str">
        <f>VLOOKUP(D519,[1]TASMaps!$H$4:$K$269,4,FALSE)</f>
        <v>Nicholas</v>
      </c>
      <c r="D519" s="9">
        <v>6041</v>
      </c>
      <c r="E519" s="9" t="s">
        <v>767</v>
      </c>
      <c r="F519" s="9" t="s">
        <v>18</v>
      </c>
      <c r="G519" s="9" t="s">
        <v>44</v>
      </c>
      <c r="H519" s="8" t="s">
        <v>20</v>
      </c>
      <c r="I519" s="10">
        <v>600260</v>
      </c>
      <c r="J519" s="10">
        <v>5418170</v>
      </c>
      <c r="K519" s="11">
        <v>-41.381749999999997</v>
      </c>
      <c r="L519" s="11">
        <v>148.19906</v>
      </c>
      <c r="N519" s="8" t="s">
        <v>37</v>
      </c>
      <c r="P519" s="8">
        <v>1</v>
      </c>
    </row>
    <row r="520" spans="1:16" x14ac:dyDescent="0.15">
      <c r="A520" s="7" t="s">
        <v>768</v>
      </c>
      <c r="B520" s="9" t="str">
        <f>VLOOKUP(D520,[1]TASMaps!$H$4:$K$269,3,FALSE)</f>
        <v>TK04</v>
      </c>
      <c r="C520" s="9" t="str">
        <f>VLOOKUP(D520,[1]TASMaps!$H$4:$K$269,4,FALSE)</f>
        <v>White River</v>
      </c>
      <c r="D520" s="9">
        <v>3439</v>
      </c>
      <c r="E520" s="9" t="s">
        <v>769</v>
      </c>
      <c r="F520" s="9" t="s">
        <v>30</v>
      </c>
      <c r="G520" s="9" t="s">
        <v>117</v>
      </c>
      <c r="H520" s="8" t="s">
        <v>20</v>
      </c>
      <c r="I520" s="10">
        <v>341260</v>
      </c>
      <c r="J520" s="10">
        <v>5398830</v>
      </c>
      <c r="K520" s="11">
        <v>-41.546439999999997</v>
      </c>
      <c r="L520" s="11">
        <v>145.09675999999999</v>
      </c>
      <c r="N520" s="8" t="s">
        <v>37</v>
      </c>
      <c r="P520" s="8">
        <v>1</v>
      </c>
    </row>
    <row r="521" spans="1:16" x14ac:dyDescent="0.15">
      <c r="A521" s="9" t="s">
        <v>770</v>
      </c>
      <c r="B521" s="9" t="str">
        <f>VLOOKUP(D521,[1]TASMaps!$H$4:$K$269,3,FALSE)</f>
        <v>TL10</v>
      </c>
      <c r="C521" s="9" t="str">
        <f>VLOOKUP(D521,[1]TASMaps!$H$4:$K$269,4,FALSE)</f>
        <v>Douglas River</v>
      </c>
      <c r="D521" s="9">
        <v>6037</v>
      </c>
      <c r="E521" s="9" t="s">
        <v>52</v>
      </c>
      <c r="F521" s="9" t="s">
        <v>18</v>
      </c>
      <c r="G521" s="9" t="s">
        <v>44</v>
      </c>
      <c r="H521" s="8" t="s">
        <v>20</v>
      </c>
      <c r="I521" s="10">
        <v>600930</v>
      </c>
      <c r="J521" s="10">
        <v>5377610</v>
      </c>
      <c r="K521" s="11">
        <v>-41.746920000000003</v>
      </c>
      <c r="L521" s="11">
        <v>148.21388999999999</v>
      </c>
      <c r="N521" s="8" t="s">
        <v>37</v>
      </c>
      <c r="P521" s="8">
        <v>1</v>
      </c>
    </row>
    <row r="522" spans="1:16" x14ac:dyDescent="0.15">
      <c r="A522" s="7" t="s">
        <v>771</v>
      </c>
      <c r="B522" s="9" t="str">
        <f>VLOOKUP(D522,[1]TASMaps!$H$4:$K$269,3,FALSE)</f>
        <v>TK05</v>
      </c>
      <c r="C522" s="9" t="str">
        <f>VLOOKUP(D522,[1]TASMaps!$H$4:$K$269,4,FALSE)</f>
        <v>Black Bluff</v>
      </c>
      <c r="D522" s="9">
        <v>4041</v>
      </c>
      <c r="E522" s="9" t="s">
        <v>180</v>
      </c>
      <c r="F522" s="9" t="s">
        <v>104</v>
      </c>
      <c r="G522" s="9" t="s">
        <v>113</v>
      </c>
      <c r="H522" s="8" t="s">
        <v>20</v>
      </c>
      <c r="I522" s="10">
        <v>412320</v>
      </c>
      <c r="J522" s="10">
        <v>5417790</v>
      </c>
      <c r="K522" s="11">
        <v>-41.38664</v>
      </c>
      <c r="L522" s="11">
        <v>145.95131000000001</v>
      </c>
      <c r="N522" s="8" t="s">
        <v>37</v>
      </c>
      <c r="O522" s="8">
        <v>1</v>
      </c>
      <c r="P522" s="8">
        <v>1</v>
      </c>
    </row>
    <row r="523" spans="1:16" x14ac:dyDescent="0.15">
      <c r="A523" s="9" t="s">
        <v>772</v>
      </c>
      <c r="B523" s="9" t="str">
        <f>VLOOKUP(D523,[1]TASMaps!$H$4:$K$269,3,FALSE)</f>
        <v>TP07</v>
      </c>
      <c r="C523" s="9" t="str">
        <f>VLOOKUP(D523,[1]TASMaps!$H$4:$K$269,4,FALSE)</f>
        <v>Meadowbank</v>
      </c>
      <c r="D523" s="9">
        <v>4628</v>
      </c>
      <c r="E523" s="9" t="s">
        <v>240</v>
      </c>
      <c r="F523" s="9" t="s">
        <v>30</v>
      </c>
      <c r="G523" s="9" t="s">
        <v>36</v>
      </c>
      <c r="H523" s="8" t="s">
        <v>20</v>
      </c>
      <c r="I523" s="10">
        <v>462360</v>
      </c>
      <c r="J523" s="10">
        <v>5280640</v>
      </c>
      <c r="K523" s="11">
        <v>-42.62576</v>
      </c>
      <c r="L523" s="11">
        <v>146.54097999999999</v>
      </c>
      <c r="N523" s="8" t="s">
        <v>37</v>
      </c>
      <c r="P523" s="8">
        <v>1</v>
      </c>
    </row>
    <row r="524" spans="1:16" x14ac:dyDescent="0.15">
      <c r="A524" s="7" t="s">
        <v>773</v>
      </c>
      <c r="B524" s="9" t="str">
        <f>VLOOKUP(D524,[1]TASMaps!$H$4:$K$269,3,FALSE)</f>
        <v>TP07</v>
      </c>
      <c r="C524" s="9" t="str">
        <f>VLOOKUP(D524,[1]TASMaps!$H$4:$K$269,4,FALSE)</f>
        <v>Meadowbank</v>
      </c>
      <c r="D524" s="9">
        <v>4628</v>
      </c>
      <c r="E524" s="9" t="s">
        <v>240</v>
      </c>
      <c r="F524" s="9" t="s">
        <v>30</v>
      </c>
      <c r="G524" s="9" t="s">
        <v>36</v>
      </c>
      <c r="H524" s="8" t="s">
        <v>20</v>
      </c>
      <c r="I524" s="10">
        <v>461010</v>
      </c>
      <c r="J524" s="10">
        <v>5282560</v>
      </c>
      <c r="K524" s="11">
        <v>-42.608409999999999</v>
      </c>
      <c r="L524" s="11">
        <v>146.52465000000001</v>
      </c>
      <c r="M524" s="8" t="s">
        <v>21</v>
      </c>
      <c r="N524" s="8" t="s">
        <v>37</v>
      </c>
      <c r="O524" s="8">
        <v>2</v>
      </c>
      <c r="P524" s="8">
        <v>3</v>
      </c>
    </row>
    <row r="525" spans="1:16" x14ac:dyDescent="0.15">
      <c r="A525" s="7" t="s">
        <v>774</v>
      </c>
      <c r="B525" s="9" t="str">
        <f>VLOOKUP(D525,[1]TASMaps!$H$4:$K$269,3,FALSE)</f>
        <v>TQ07</v>
      </c>
      <c r="C525" s="9" t="str">
        <f>VLOOKUP(D525,[1]TASMaps!$H$4:$K$269,4,FALSE)</f>
        <v>Snowy Range</v>
      </c>
      <c r="D525" s="9">
        <v>4626</v>
      </c>
      <c r="E525" s="9" t="s">
        <v>17</v>
      </c>
      <c r="F525" s="9" t="s">
        <v>18</v>
      </c>
      <c r="G525" s="9" t="s">
        <v>19</v>
      </c>
      <c r="H525" s="8" t="s">
        <v>20</v>
      </c>
      <c r="I525" s="10">
        <v>477450</v>
      </c>
      <c r="J525" s="10">
        <v>5267300</v>
      </c>
      <c r="K525" s="11">
        <v>-42.746490000000001</v>
      </c>
      <c r="L525" s="11">
        <v>146.72447</v>
      </c>
      <c r="N525" s="8" t="s">
        <v>37</v>
      </c>
      <c r="O525" s="8">
        <v>1</v>
      </c>
      <c r="P525" s="8">
        <v>1</v>
      </c>
    </row>
    <row r="526" spans="1:16" x14ac:dyDescent="0.15">
      <c r="A526" s="7" t="s">
        <v>775</v>
      </c>
      <c r="B526" s="9" t="str">
        <f>VLOOKUP(D526,[1]TASMaps!$H$4:$K$269,3,FALSE)</f>
        <v>TJ05</v>
      </c>
      <c r="C526" s="9" t="str">
        <f>VLOOKUP(D526,[1]TASMaps!$H$4:$K$269,4,FALSE)</f>
        <v>Emu River</v>
      </c>
      <c r="D526" s="9">
        <v>4043</v>
      </c>
      <c r="E526" s="9" t="s">
        <v>465</v>
      </c>
      <c r="F526" s="9" t="s">
        <v>30</v>
      </c>
      <c r="G526" s="9" t="s">
        <v>113</v>
      </c>
      <c r="H526" s="8" t="s">
        <v>20</v>
      </c>
      <c r="I526" s="10">
        <v>420120</v>
      </c>
      <c r="J526" s="10">
        <v>5435750</v>
      </c>
      <c r="K526" s="11">
        <v>-41.225700000000003</v>
      </c>
      <c r="L526" s="11">
        <v>146.04694000000001</v>
      </c>
      <c r="N526" s="8" t="s">
        <v>37</v>
      </c>
      <c r="O526" s="8">
        <v>1</v>
      </c>
      <c r="P526" s="8">
        <v>1</v>
      </c>
    </row>
    <row r="527" spans="1:16" x14ac:dyDescent="0.15">
      <c r="A527" s="7" t="s">
        <v>776</v>
      </c>
      <c r="B527" s="9" t="str">
        <f>VLOOKUP(D527,[1]TASMaps!$H$4:$K$269,3,FALSE)</f>
        <v>TQ06</v>
      </c>
      <c r="C527" s="9" t="str">
        <f>VLOOKUP(D527,[1]TASMaps!$H$4:$K$269,4,FALSE)</f>
        <v>Lake Pedder</v>
      </c>
      <c r="D527" s="9">
        <v>4424</v>
      </c>
      <c r="E527" s="9" t="s">
        <v>69</v>
      </c>
      <c r="F527" s="9" t="s">
        <v>30</v>
      </c>
      <c r="G527" s="9" t="s">
        <v>19</v>
      </c>
      <c r="H527" s="8" t="s">
        <v>20</v>
      </c>
      <c r="I527" s="10">
        <v>455050</v>
      </c>
      <c r="J527" s="10">
        <v>5244560</v>
      </c>
      <c r="K527" s="11">
        <v>-42.950270000000003</v>
      </c>
      <c r="L527" s="11">
        <v>146.44897</v>
      </c>
      <c r="N527" s="8">
        <v>3</v>
      </c>
      <c r="O527" s="8">
        <v>3</v>
      </c>
      <c r="P527" s="8">
        <v>3</v>
      </c>
    </row>
    <row r="528" spans="1:16" x14ac:dyDescent="0.15">
      <c r="A528" s="7" t="s">
        <v>777</v>
      </c>
      <c r="B528" s="9" t="str">
        <f>VLOOKUP(D528,[1]TASMaps!$H$4:$K$269,3,FALSE)</f>
        <v>TQ06</v>
      </c>
      <c r="C528" s="9" t="str">
        <f>VLOOKUP(D528,[1]TASMaps!$H$4:$K$269,4,FALSE)</f>
        <v>Lake Pedder</v>
      </c>
      <c r="D528" s="9">
        <v>4424</v>
      </c>
      <c r="E528" s="9" t="s">
        <v>69</v>
      </c>
      <c r="F528" s="9" t="s">
        <v>778</v>
      </c>
      <c r="G528" s="9" t="s">
        <v>19</v>
      </c>
      <c r="H528" s="8" t="s">
        <v>20</v>
      </c>
      <c r="I528" s="10">
        <v>456000</v>
      </c>
      <c r="J528" s="10">
        <v>5244840</v>
      </c>
      <c r="K528" s="11">
        <v>-42.947809999999997</v>
      </c>
      <c r="L528" s="11">
        <v>146.46063000000001</v>
      </c>
      <c r="N528" s="8">
        <v>3</v>
      </c>
      <c r="O528" s="8">
        <v>3</v>
      </c>
      <c r="P528" s="8">
        <v>3</v>
      </c>
    </row>
    <row r="529" spans="1:16" x14ac:dyDescent="0.15">
      <c r="A529" s="7" t="s">
        <v>779</v>
      </c>
      <c r="B529" s="9" t="str">
        <f>VLOOKUP(D529,[1]TASMaps!$H$4:$K$269,3,FALSE)</f>
        <v>TS06</v>
      </c>
      <c r="C529" s="9" t="str">
        <f>VLOOKUP(D529,[1]TASMaps!$H$4:$K$269,4,FALSE)</f>
        <v>Bathurst</v>
      </c>
      <c r="D529" s="9">
        <v>4418</v>
      </c>
      <c r="E529" s="9" t="s">
        <v>671</v>
      </c>
      <c r="F529" s="9" t="s">
        <v>30</v>
      </c>
      <c r="G529" s="9" t="s">
        <v>27</v>
      </c>
      <c r="H529" s="8" t="s">
        <v>20</v>
      </c>
      <c r="I529" s="10">
        <v>451810</v>
      </c>
      <c r="J529" s="10">
        <v>5188490</v>
      </c>
      <c r="K529" s="11">
        <v>-43.454949999999997</v>
      </c>
      <c r="L529" s="11">
        <v>146.40436</v>
      </c>
      <c r="N529" s="8">
        <v>4</v>
      </c>
      <c r="O529" s="8">
        <v>4</v>
      </c>
      <c r="P529" s="8">
        <v>4</v>
      </c>
    </row>
    <row r="530" spans="1:16" x14ac:dyDescent="0.15">
      <c r="A530" s="9" t="s">
        <v>780</v>
      </c>
      <c r="B530" s="9" t="str">
        <f>VLOOKUP(D530,[1]TASMaps!$H$4:$K$269,3,FALSE)</f>
        <v>TK08</v>
      </c>
      <c r="C530" s="9" t="str">
        <f>VLOOKUP(D530,[1]TASMaps!$H$4:$K$269,4,FALSE)</f>
        <v>Perth</v>
      </c>
      <c r="D530" s="9">
        <v>5239</v>
      </c>
      <c r="E530" s="9" t="s">
        <v>602</v>
      </c>
      <c r="F530" s="9" t="s">
        <v>30</v>
      </c>
      <c r="G530" s="9" t="s">
        <v>78</v>
      </c>
      <c r="H530" s="8" t="s">
        <v>20</v>
      </c>
      <c r="I530" s="10">
        <v>532990</v>
      </c>
      <c r="J530" s="10">
        <v>5396900</v>
      </c>
      <c r="K530" s="11">
        <v>-41.57891</v>
      </c>
      <c r="L530" s="11">
        <v>147.39574999999999</v>
      </c>
      <c r="N530" s="8" t="s">
        <v>37</v>
      </c>
      <c r="P530" s="8">
        <v>1</v>
      </c>
    </row>
    <row r="531" spans="1:16" x14ac:dyDescent="0.15">
      <c r="A531" s="7" t="s">
        <v>781</v>
      </c>
      <c r="B531" s="9" t="str">
        <f>VLOOKUP(D531,[1]TASMaps!$H$4:$K$269,3,FALSE)</f>
        <v>TJ05</v>
      </c>
      <c r="C531" s="9" t="str">
        <f>VLOOKUP(D531,[1]TASMaps!$H$4:$K$269,4,FALSE)</f>
        <v>Emu River</v>
      </c>
      <c r="D531" s="9">
        <v>4042</v>
      </c>
      <c r="E531" s="9" t="s">
        <v>501</v>
      </c>
      <c r="F531" s="9" t="s">
        <v>23</v>
      </c>
      <c r="G531" s="9" t="s">
        <v>113</v>
      </c>
      <c r="H531" s="8" t="s">
        <v>20</v>
      </c>
      <c r="I531" s="10">
        <v>412730</v>
      </c>
      <c r="J531" s="10">
        <v>5425490</v>
      </c>
      <c r="K531" s="11">
        <v>-41.317340000000002</v>
      </c>
      <c r="L531" s="11">
        <v>145.95732000000001</v>
      </c>
      <c r="N531" s="8" t="s">
        <v>37</v>
      </c>
      <c r="O531" s="8">
        <v>1</v>
      </c>
      <c r="P531" s="8">
        <v>1</v>
      </c>
    </row>
    <row r="532" spans="1:16" x14ac:dyDescent="0.15">
      <c r="A532" s="7" t="s">
        <v>782</v>
      </c>
      <c r="B532" s="9" t="str">
        <f>VLOOKUP(D532,[1]TASMaps!$H$4:$K$269,3,FALSE)</f>
        <v>TM05</v>
      </c>
      <c r="C532" s="9" t="str">
        <f>VLOOKUP(D532,[1]TASMaps!$H$4:$K$269,4,FALSE)</f>
        <v>Eldon</v>
      </c>
      <c r="D532" s="9">
        <v>3834</v>
      </c>
      <c r="E532" s="9" t="s">
        <v>746</v>
      </c>
      <c r="F532" s="9" t="s">
        <v>30</v>
      </c>
      <c r="G532" s="9" t="s">
        <v>24</v>
      </c>
      <c r="H532" s="8" t="s">
        <v>20</v>
      </c>
      <c r="I532" s="10">
        <v>385310</v>
      </c>
      <c r="J532" s="10">
        <v>5343730</v>
      </c>
      <c r="K532" s="11">
        <v>-42.05012</v>
      </c>
      <c r="L532" s="11">
        <v>145.61408</v>
      </c>
      <c r="N532" s="8" t="s">
        <v>37</v>
      </c>
      <c r="O532" s="8">
        <v>1</v>
      </c>
      <c r="P532" s="8">
        <v>1</v>
      </c>
    </row>
    <row r="533" spans="1:16" x14ac:dyDescent="0.15">
      <c r="A533" s="7" t="s">
        <v>783</v>
      </c>
      <c r="B533" s="9" t="str">
        <f>VLOOKUP(D533,[1]TASMaps!$H$4:$K$269,3,FALSE)</f>
        <v>TN05</v>
      </c>
      <c r="C533" s="9" t="str">
        <f>VLOOKUP(D533,[1]TASMaps!$H$4:$K$269,4,FALSE)</f>
        <v>Frenchmans</v>
      </c>
      <c r="D533" s="9">
        <v>4031</v>
      </c>
      <c r="E533" s="9" t="s">
        <v>337</v>
      </c>
      <c r="F533" s="9" t="s">
        <v>30</v>
      </c>
      <c r="G533" s="9" t="s">
        <v>24</v>
      </c>
      <c r="H533" s="8" t="s">
        <v>20</v>
      </c>
      <c r="I533" s="10">
        <v>402770</v>
      </c>
      <c r="J533" s="10">
        <v>5312550</v>
      </c>
      <c r="K533" s="11">
        <v>-42.33323</v>
      </c>
      <c r="L533" s="11">
        <v>145.81979999999999</v>
      </c>
      <c r="N533" s="8" t="s">
        <v>37</v>
      </c>
      <c r="O533" s="8">
        <v>3</v>
      </c>
      <c r="P533" s="8">
        <v>3</v>
      </c>
    </row>
    <row r="534" spans="1:16" x14ac:dyDescent="0.15">
      <c r="A534" s="7" t="s">
        <v>784</v>
      </c>
      <c r="B534" s="9" t="str">
        <f>VLOOKUP(D534,[1]TASMaps!$H$4:$K$269,3,FALSE)</f>
        <v>TM10</v>
      </c>
      <c r="C534" s="9" t="str">
        <f>VLOOKUP(D534,[1]TASMaps!$H$4:$K$269,4,FALSE)</f>
        <v>Moulting Lagoon</v>
      </c>
      <c r="D534" s="9">
        <v>5835</v>
      </c>
      <c r="E534" s="9" t="s">
        <v>785</v>
      </c>
      <c r="F534" s="9" t="s">
        <v>18</v>
      </c>
      <c r="G534" s="9" t="s">
        <v>62</v>
      </c>
      <c r="H534" s="8" t="s">
        <v>20</v>
      </c>
      <c r="I534" s="10">
        <v>594660</v>
      </c>
      <c r="J534" s="10">
        <v>5359840</v>
      </c>
      <c r="K534" s="11">
        <v>-41.907719999999998</v>
      </c>
      <c r="L534" s="11">
        <v>148.14134000000001</v>
      </c>
      <c r="N534" s="8" t="s">
        <v>37</v>
      </c>
      <c r="P534" s="8">
        <v>1</v>
      </c>
    </row>
    <row r="535" spans="1:16" x14ac:dyDescent="0.15">
      <c r="A535" s="7" t="s">
        <v>786</v>
      </c>
      <c r="B535" s="9" t="str">
        <f>VLOOKUP(D535,[1]TASMaps!$H$4:$K$269,3,FALSE)</f>
        <v>TK03</v>
      </c>
      <c r="C535" s="9" t="str">
        <f>VLOOKUP(D535,[1]TASMaps!$H$4:$K$269,4,FALSE)</f>
        <v>Norfolk Range</v>
      </c>
      <c r="D535" s="9">
        <v>3241</v>
      </c>
      <c r="E535" s="9" t="s">
        <v>216</v>
      </c>
      <c r="F535" s="9" t="s">
        <v>30</v>
      </c>
      <c r="G535" s="9" t="s">
        <v>107</v>
      </c>
      <c r="H535" s="8" t="s">
        <v>20</v>
      </c>
      <c r="I535" s="10">
        <v>328610</v>
      </c>
      <c r="J535" s="10">
        <v>5412300</v>
      </c>
      <c r="K535" s="11">
        <v>-41.42257</v>
      </c>
      <c r="L535" s="11">
        <v>144.94900999999999</v>
      </c>
      <c r="N535" s="8" t="s">
        <v>37</v>
      </c>
      <c r="O535" s="8">
        <v>1</v>
      </c>
      <c r="P535" s="8">
        <v>1</v>
      </c>
    </row>
    <row r="536" spans="1:16" x14ac:dyDescent="0.15">
      <c r="A536" s="7" t="s">
        <v>787</v>
      </c>
      <c r="B536" s="9" t="str">
        <f>VLOOKUP(D536,[1]TASMaps!$H$4:$K$269,3,FALSE)</f>
        <v>TQ09</v>
      </c>
      <c r="C536" s="9" t="str">
        <f>VLOOKUP(D536,[1]TASMaps!$H$4:$K$269,4,FALSE)</f>
        <v>Frederick Henry</v>
      </c>
      <c r="D536" s="9">
        <v>5624</v>
      </c>
      <c r="E536" s="9" t="s">
        <v>525</v>
      </c>
      <c r="F536" s="9" t="s">
        <v>23</v>
      </c>
      <c r="G536" s="9" t="s">
        <v>83</v>
      </c>
      <c r="H536" s="8" t="s">
        <v>20</v>
      </c>
      <c r="I536" s="10">
        <v>577230</v>
      </c>
      <c r="J536" s="10">
        <v>5241200</v>
      </c>
      <c r="K536" s="11">
        <v>-42.977939999999997</v>
      </c>
      <c r="L536" s="11">
        <v>147.94717</v>
      </c>
      <c r="N536" s="8" t="s">
        <v>37</v>
      </c>
      <c r="O536" s="8">
        <v>1</v>
      </c>
      <c r="P536" s="8">
        <v>1</v>
      </c>
    </row>
    <row r="537" spans="1:16" x14ac:dyDescent="0.15">
      <c r="A537" s="9" t="s">
        <v>788</v>
      </c>
      <c r="B537" s="9" t="str">
        <f>VLOOKUP(D537,[1]TASMaps!$H$4:$K$269,3,FALSE)</f>
        <v>TS06</v>
      </c>
      <c r="C537" s="9" t="str">
        <f>VLOOKUP(D537,[1]TASMaps!$H$4:$K$269,4,FALSE)</f>
        <v>Bathurst</v>
      </c>
      <c r="D537" s="9">
        <v>4220</v>
      </c>
      <c r="E537" s="9" t="s">
        <v>157</v>
      </c>
      <c r="F537" s="9" t="s">
        <v>30</v>
      </c>
      <c r="G537" s="9" t="s">
        <v>27</v>
      </c>
      <c r="H537" s="8" t="s">
        <v>20</v>
      </c>
      <c r="I537" s="10">
        <v>422490</v>
      </c>
      <c r="J537" s="10">
        <v>5202120</v>
      </c>
      <c r="K537" s="11">
        <v>-43.329770000000003</v>
      </c>
      <c r="L537" s="11">
        <v>146.04392999999999</v>
      </c>
      <c r="N537" s="8" t="s">
        <v>37</v>
      </c>
      <c r="P537" s="8">
        <v>1</v>
      </c>
    </row>
    <row r="538" spans="1:16" x14ac:dyDescent="0.15">
      <c r="A538" s="7" t="s">
        <v>789</v>
      </c>
      <c r="B538" s="9" t="str">
        <f>VLOOKUP(D538,[1]TASMaps!$H$4:$K$269,3,FALSE)</f>
        <v>TP08</v>
      </c>
      <c r="C538" s="9" t="str">
        <f>VLOOKUP(D538,[1]TASMaps!$H$4:$K$269,4,FALSE)</f>
        <v>Green Ponds</v>
      </c>
      <c r="D538" s="9">
        <v>5229</v>
      </c>
      <c r="E538" s="9" t="s">
        <v>188</v>
      </c>
      <c r="F538" s="9" t="s">
        <v>18</v>
      </c>
      <c r="G538" s="9" t="s">
        <v>59</v>
      </c>
      <c r="H538" s="8" t="s">
        <v>20</v>
      </c>
      <c r="I538" s="10">
        <v>529620</v>
      </c>
      <c r="J538" s="10">
        <v>5297610</v>
      </c>
      <c r="K538" s="11">
        <v>-42.473289999999999</v>
      </c>
      <c r="L538" s="11">
        <v>147.36034000000001</v>
      </c>
      <c r="N538" s="8" t="s">
        <v>37</v>
      </c>
      <c r="P538" s="8">
        <v>1</v>
      </c>
    </row>
    <row r="539" spans="1:16" x14ac:dyDescent="0.15">
      <c r="A539" s="7" t="s">
        <v>790</v>
      </c>
      <c r="B539" s="9" t="str">
        <f>VLOOKUP(D539,[1]TASMaps!$H$4:$K$269,3,FALSE)</f>
        <v>TR06</v>
      </c>
      <c r="C539" s="9" t="str">
        <f>VLOOKUP(D539,[1]TASMaps!$H$4:$K$269,4,FALSE)</f>
        <v>Western Arthur</v>
      </c>
      <c r="D539" s="9">
        <v>4223</v>
      </c>
      <c r="E539" s="9" t="s">
        <v>318</v>
      </c>
      <c r="F539" s="9" t="s">
        <v>30</v>
      </c>
      <c r="G539" s="9" t="s">
        <v>27</v>
      </c>
      <c r="H539" s="8" t="s">
        <v>20</v>
      </c>
      <c r="I539" s="10">
        <v>425670</v>
      </c>
      <c r="J539" s="10">
        <v>5232880</v>
      </c>
      <c r="K539" s="11">
        <v>-43.053139999999999</v>
      </c>
      <c r="L539" s="11">
        <v>146.08727999999999</v>
      </c>
      <c r="N539" s="8">
        <v>3</v>
      </c>
      <c r="O539" s="8">
        <v>3</v>
      </c>
      <c r="P539" s="8">
        <v>3</v>
      </c>
    </row>
    <row r="540" spans="1:16" x14ac:dyDescent="0.15">
      <c r="A540" s="7" t="s">
        <v>791</v>
      </c>
      <c r="B540" s="9" t="str">
        <f>VLOOKUP(D540,[1]TASMaps!$H$4:$K$269,3,FALSE)</f>
        <v>TM05</v>
      </c>
      <c r="C540" s="9" t="str">
        <f>VLOOKUP(D540,[1]TASMaps!$H$4:$K$269,4,FALSE)</f>
        <v>Eldon</v>
      </c>
      <c r="D540" s="9">
        <v>4035</v>
      </c>
      <c r="E540" s="9" t="s">
        <v>291</v>
      </c>
      <c r="F540" s="9" t="s">
        <v>30</v>
      </c>
      <c r="G540" s="9" t="s">
        <v>24</v>
      </c>
      <c r="H540" s="8" t="s">
        <v>20</v>
      </c>
      <c r="I540" s="10">
        <v>415745</v>
      </c>
      <c r="J540" s="10">
        <v>5356825</v>
      </c>
      <c r="K540" s="11">
        <v>-41.936050000000002</v>
      </c>
      <c r="L540" s="11">
        <v>145.98366999999999</v>
      </c>
      <c r="M540" s="8" t="s">
        <v>21</v>
      </c>
      <c r="N540" s="8">
        <v>3</v>
      </c>
      <c r="O540" s="8">
        <v>3</v>
      </c>
      <c r="P540" s="8">
        <v>4</v>
      </c>
    </row>
    <row r="541" spans="1:16" x14ac:dyDescent="0.15">
      <c r="A541" s="7" t="s">
        <v>792</v>
      </c>
      <c r="B541" s="9" t="str">
        <f>VLOOKUP(D541,[1]TASMaps!$H$4:$K$269,3,FALSE)</f>
        <v>TN05</v>
      </c>
      <c r="C541" s="9" t="str">
        <f>VLOOKUP(D541,[1]TASMaps!$H$4:$K$269,4,FALSE)</f>
        <v>Frenchmans</v>
      </c>
      <c r="D541" s="9">
        <v>3832</v>
      </c>
      <c r="E541" s="9" t="s">
        <v>235</v>
      </c>
      <c r="F541" s="9" t="s">
        <v>30</v>
      </c>
      <c r="G541" s="9" t="s">
        <v>24</v>
      </c>
      <c r="H541" s="8" t="s">
        <v>20</v>
      </c>
      <c r="I541" s="10">
        <v>394650</v>
      </c>
      <c r="J541" s="10">
        <v>5328380</v>
      </c>
      <c r="K541" s="11">
        <v>-42.189639999999997</v>
      </c>
      <c r="L541" s="11">
        <v>145.72414000000001</v>
      </c>
      <c r="N541" s="8" t="s">
        <v>37</v>
      </c>
      <c r="O541" s="8">
        <v>1</v>
      </c>
      <c r="P541" s="8">
        <v>1</v>
      </c>
    </row>
    <row r="542" spans="1:16" x14ac:dyDescent="0.15">
      <c r="A542" s="9" t="s">
        <v>793</v>
      </c>
      <c r="B542" s="9" t="str">
        <f>VLOOKUP(D542,[1]TASMaps!$H$4:$K$269,3,FALSE)</f>
        <v>TL06</v>
      </c>
      <c r="C542" s="9" t="str">
        <f>VLOOKUP(D542,[1]TASMaps!$H$4:$K$269,4,FALSE)</f>
        <v>Jerusalem</v>
      </c>
      <c r="D542" s="9">
        <v>4237</v>
      </c>
      <c r="E542" s="9" t="s">
        <v>335</v>
      </c>
      <c r="F542" s="9" t="s">
        <v>30</v>
      </c>
      <c r="G542" s="9" t="s">
        <v>33</v>
      </c>
      <c r="H542" s="8" t="s">
        <v>20</v>
      </c>
      <c r="I542" s="10">
        <v>432540</v>
      </c>
      <c r="J542" s="10">
        <v>5378490</v>
      </c>
      <c r="K542" s="11">
        <v>-41.742550000000001</v>
      </c>
      <c r="L542" s="11">
        <v>146.18870000000001</v>
      </c>
      <c r="N542" s="8" t="s">
        <v>37</v>
      </c>
      <c r="P542" s="8">
        <v>1</v>
      </c>
    </row>
    <row r="543" spans="1:16" x14ac:dyDescent="0.15">
      <c r="A543" s="9" t="s">
        <v>794</v>
      </c>
      <c r="B543" s="9" t="str">
        <f>VLOOKUP(D543,[1]TASMaps!$H$4:$K$269,3,FALSE)</f>
        <v>TK09</v>
      </c>
      <c r="C543" s="9" t="str">
        <f>VLOOKUP(D543,[1]TASMaps!$H$4:$K$269,4,FALSE)</f>
        <v>Ben Lomond</v>
      </c>
      <c r="D543" s="9">
        <v>5439</v>
      </c>
      <c r="E543" s="9" t="s">
        <v>95</v>
      </c>
      <c r="F543" s="9" t="s">
        <v>30</v>
      </c>
      <c r="G543" s="9" t="s">
        <v>78</v>
      </c>
      <c r="H543" s="8" t="s">
        <v>20</v>
      </c>
      <c r="I543" s="10">
        <v>553160</v>
      </c>
      <c r="J543" s="10">
        <v>5399950</v>
      </c>
      <c r="K543" s="11">
        <v>-41.550350000000002</v>
      </c>
      <c r="L543" s="11">
        <v>147.63741999999999</v>
      </c>
      <c r="N543" s="8" t="s">
        <v>37</v>
      </c>
      <c r="P543" s="8">
        <v>1</v>
      </c>
    </row>
    <row r="544" spans="1:16" x14ac:dyDescent="0.15">
      <c r="A544" s="9" t="s">
        <v>795</v>
      </c>
      <c r="B544" s="9" t="str">
        <f>VLOOKUP(D544,[1]TASMaps!$H$4:$K$269,3,FALSE)</f>
        <v>TL06</v>
      </c>
      <c r="C544" s="9" t="str">
        <f>VLOOKUP(D544,[1]TASMaps!$H$4:$K$269,4,FALSE)</f>
        <v>Jerusalem</v>
      </c>
      <c r="D544" s="9">
        <v>4237</v>
      </c>
      <c r="E544" s="9" t="s">
        <v>335</v>
      </c>
      <c r="F544" s="9" t="s">
        <v>30</v>
      </c>
      <c r="G544" s="9" t="s">
        <v>33</v>
      </c>
      <c r="H544" s="8" t="s">
        <v>20</v>
      </c>
      <c r="I544" s="10">
        <v>432540</v>
      </c>
      <c r="J544" s="10">
        <v>5378200</v>
      </c>
      <c r="K544" s="11">
        <v>-41.745159999999998</v>
      </c>
      <c r="L544" s="11">
        <v>146.18867</v>
      </c>
      <c r="N544" s="8" t="s">
        <v>37</v>
      </c>
      <c r="P544" s="8">
        <v>1</v>
      </c>
    </row>
    <row r="545" spans="1:16" x14ac:dyDescent="0.15">
      <c r="A545" s="7" t="s">
        <v>796</v>
      </c>
      <c r="B545" s="9" t="str">
        <f>VLOOKUP(D545,[1]TASMaps!$H$4:$K$269,3,FALSE)</f>
        <v>TM05</v>
      </c>
      <c r="C545" s="9" t="str">
        <f>VLOOKUP(D545,[1]TASMaps!$H$4:$K$269,4,FALSE)</f>
        <v>Eldon</v>
      </c>
      <c r="D545" s="9">
        <v>4034</v>
      </c>
      <c r="E545" s="9" t="s">
        <v>270</v>
      </c>
      <c r="F545" s="9" t="s">
        <v>30</v>
      </c>
      <c r="G545" s="9" t="s">
        <v>24</v>
      </c>
      <c r="H545" s="8" t="s">
        <v>20</v>
      </c>
      <c r="I545" s="10">
        <v>418980</v>
      </c>
      <c r="J545" s="10">
        <v>5348890</v>
      </c>
      <c r="K545" s="11">
        <v>-42.007840000000002</v>
      </c>
      <c r="L545" s="11">
        <v>146.02159</v>
      </c>
      <c r="M545" s="8" t="s">
        <v>21</v>
      </c>
      <c r="N545" s="8">
        <v>3</v>
      </c>
      <c r="O545" s="8">
        <v>3</v>
      </c>
      <c r="P545" s="8">
        <v>4</v>
      </c>
    </row>
    <row r="546" spans="1:16" x14ac:dyDescent="0.15">
      <c r="A546" s="7" t="s">
        <v>797</v>
      </c>
      <c r="B546" s="9" t="str">
        <f>VLOOKUP(D546,[1]TASMaps!$H$4:$K$269,3,FALSE)</f>
        <v>TS08</v>
      </c>
      <c r="C546" s="9" t="str">
        <f>VLOOKUP(D546,[1]TASMaps!$H$4:$K$269,4,FALSE)</f>
        <v>South Bruny</v>
      </c>
      <c r="D546" s="9">
        <v>5219</v>
      </c>
      <c r="E546" s="9" t="s">
        <v>109</v>
      </c>
      <c r="F546" s="9" t="s">
        <v>30</v>
      </c>
      <c r="G546" s="9" t="s">
        <v>110</v>
      </c>
      <c r="H546" s="8" t="s">
        <v>20</v>
      </c>
      <c r="I546" s="10">
        <v>523190</v>
      </c>
      <c r="J546" s="10">
        <v>5197820</v>
      </c>
      <c r="K546" s="11">
        <v>-43.372129999999999</v>
      </c>
      <c r="L546" s="11">
        <v>147.28623999999999</v>
      </c>
      <c r="N546" s="8" t="s">
        <v>37</v>
      </c>
      <c r="O546" s="8">
        <v>1</v>
      </c>
      <c r="P546" s="8">
        <v>1</v>
      </c>
    </row>
    <row r="547" spans="1:16" x14ac:dyDescent="0.15">
      <c r="A547" s="7" t="s">
        <v>798</v>
      </c>
      <c r="B547" s="9" t="str">
        <f>VLOOKUP(D547,[1]TASMaps!$H$4:$K$269,3,FALSE)</f>
        <v>TM05</v>
      </c>
      <c r="C547" s="9" t="str">
        <f>VLOOKUP(D547,[1]TASMaps!$H$4:$K$269,4,FALSE)</f>
        <v>Eldon</v>
      </c>
      <c r="D547" s="9">
        <v>3834</v>
      </c>
      <c r="E547" s="9" t="s">
        <v>746</v>
      </c>
      <c r="F547" s="9" t="s">
        <v>30</v>
      </c>
      <c r="G547" s="9" t="s">
        <v>24</v>
      </c>
      <c r="H547" s="8" t="s">
        <v>20</v>
      </c>
      <c r="I547" s="10">
        <v>390330</v>
      </c>
      <c r="J547" s="10">
        <v>5348100</v>
      </c>
      <c r="K547" s="11">
        <v>-42.011479999999999</v>
      </c>
      <c r="L547" s="11">
        <v>145.67554000000001</v>
      </c>
      <c r="N547" s="8" t="s">
        <v>37</v>
      </c>
      <c r="O547" s="8">
        <v>2</v>
      </c>
      <c r="P547" s="8">
        <v>2</v>
      </c>
    </row>
    <row r="548" spans="1:16" x14ac:dyDescent="0.15">
      <c r="A548" s="7" t="s">
        <v>799</v>
      </c>
      <c r="B548" s="9" t="str">
        <f>VLOOKUP(D548,[1]TASMaps!$H$4:$K$269,3,FALSE)</f>
        <v>TP10</v>
      </c>
      <c r="C548" s="9" t="str">
        <f>VLOOKUP(D548,[1]TASMaps!$H$4:$K$269,4,FALSE)</f>
        <v>Maria</v>
      </c>
      <c r="D548" s="9">
        <v>5828</v>
      </c>
      <c r="E548" s="9" t="s">
        <v>173</v>
      </c>
      <c r="F548" s="9" t="s">
        <v>30</v>
      </c>
      <c r="G548" s="9" t="s">
        <v>62</v>
      </c>
      <c r="H548" s="8" t="s">
        <v>20</v>
      </c>
      <c r="I548" s="10">
        <v>590710</v>
      </c>
      <c r="J548" s="10">
        <v>5280610</v>
      </c>
      <c r="K548" s="11">
        <v>-42.621609999999997</v>
      </c>
      <c r="L548" s="11">
        <v>148.10612</v>
      </c>
      <c r="N548" s="8" t="s">
        <v>37</v>
      </c>
      <c r="O548" s="8">
        <v>2</v>
      </c>
      <c r="P548" s="8">
        <v>2</v>
      </c>
    </row>
    <row r="549" spans="1:16" x14ac:dyDescent="0.15">
      <c r="A549" s="7" t="s">
        <v>800</v>
      </c>
      <c r="B549" s="9" t="str">
        <f>VLOOKUP(D549,[1]TASMaps!$H$4:$K$269,3,FALSE)</f>
        <v>TQ08</v>
      </c>
      <c r="C549" s="9" t="str">
        <f>VLOOKUP(D549,[1]TASMaps!$H$4:$K$269,4,FALSE)</f>
        <v>Wellington</v>
      </c>
      <c r="D549" s="9">
        <v>5025</v>
      </c>
      <c r="E549" s="9" t="s">
        <v>84</v>
      </c>
      <c r="F549" s="9" t="s">
        <v>30</v>
      </c>
      <c r="G549" s="9" t="s">
        <v>19</v>
      </c>
      <c r="H549" s="8" t="s">
        <v>20</v>
      </c>
      <c r="I549" s="10">
        <v>508530</v>
      </c>
      <c r="J549" s="10">
        <v>5252560</v>
      </c>
      <c r="K549" s="11">
        <v>-42.879510000000003</v>
      </c>
      <c r="L549" s="11">
        <v>147.10445000000001</v>
      </c>
      <c r="M549" s="8" t="s">
        <v>21</v>
      </c>
      <c r="N549" s="8" t="s">
        <v>37</v>
      </c>
      <c r="O549" s="8">
        <v>1</v>
      </c>
      <c r="P549" s="8">
        <v>1</v>
      </c>
    </row>
    <row r="550" spans="1:16" x14ac:dyDescent="0.15">
      <c r="A550" s="7" t="s">
        <v>801</v>
      </c>
      <c r="B550" s="9" t="str">
        <f>VLOOKUP(D550,[1]TASMaps!$H$4:$K$269,3,FALSE)</f>
        <v>TL05</v>
      </c>
      <c r="C550" s="9" t="str">
        <f>VLOOKUP(D550,[1]TASMaps!$H$4:$K$269,4,FALSE)</f>
        <v>Murchison</v>
      </c>
      <c r="D550" s="9">
        <v>4038</v>
      </c>
      <c r="E550" s="9" t="s">
        <v>90</v>
      </c>
      <c r="F550" s="9" t="s">
        <v>23</v>
      </c>
      <c r="G550" s="9" t="s">
        <v>24</v>
      </c>
      <c r="H550" s="8" t="s">
        <v>20</v>
      </c>
      <c r="I550" s="10">
        <v>412805</v>
      </c>
      <c r="J550" s="10">
        <v>5387400</v>
      </c>
      <c r="K550" s="11">
        <v>-41.660380000000004</v>
      </c>
      <c r="L550" s="11">
        <v>145.95269999999999</v>
      </c>
      <c r="N550" s="8" t="s">
        <v>37</v>
      </c>
      <c r="P550" s="8">
        <v>1</v>
      </c>
    </row>
    <row r="551" spans="1:16" x14ac:dyDescent="0.15">
      <c r="A551" s="7" t="s">
        <v>802</v>
      </c>
      <c r="B551" s="9" t="str">
        <f>VLOOKUP(D551,[1]TASMaps!$H$4:$K$269,3,FALSE)</f>
        <v>TK09</v>
      </c>
      <c r="C551" s="9" t="str">
        <f>VLOOKUP(D551,[1]TASMaps!$H$4:$K$269,4,FALSE)</f>
        <v>Ben Lomond</v>
      </c>
      <c r="D551" s="9">
        <v>5440</v>
      </c>
      <c r="E551" s="9" t="s">
        <v>320</v>
      </c>
      <c r="F551" s="9" t="s">
        <v>30</v>
      </c>
      <c r="G551" s="9" t="s">
        <v>78</v>
      </c>
      <c r="H551" s="8" t="s">
        <v>20</v>
      </c>
      <c r="I551" s="10">
        <v>554320</v>
      </c>
      <c r="J551" s="10">
        <v>5404080</v>
      </c>
      <c r="K551" s="11">
        <v>-41.513069999999999</v>
      </c>
      <c r="L551" s="11">
        <v>147.65096</v>
      </c>
      <c r="N551" s="8" t="s">
        <v>37</v>
      </c>
      <c r="O551" s="8">
        <v>1</v>
      </c>
      <c r="P551" s="8">
        <v>1</v>
      </c>
    </row>
    <row r="552" spans="1:16" x14ac:dyDescent="0.15">
      <c r="A552" s="7" t="s">
        <v>803</v>
      </c>
      <c r="B552" s="9" t="str">
        <f>VLOOKUP(D552,[1]TASMaps!$H$4:$K$269,3,FALSE)</f>
        <v>TQ07</v>
      </c>
      <c r="C552" s="9" t="str">
        <f>VLOOKUP(D552,[1]TASMaps!$H$4:$K$269,4,FALSE)</f>
        <v>Snowy Range</v>
      </c>
      <c r="D552" s="9">
        <v>4626</v>
      </c>
      <c r="E552" s="9" t="s">
        <v>17</v>
      </c>
      <c r="F552" s="9" t="s">
        <v>30</v>
      </c>
      <c r="G552" s="9" t="s">
        <v>19</v>
      </c>
      <c r="H552" s="8" t="s">
        <v>20</v>
      </c>
      <c r="I552" s="10">
        <v>473660</v>
      </c>
      <c r="J552" s="10">
        <v>5265290</v>
      </c>
      <c r="K552" s="11">
        <v>-42.764470000000003</v>
      </c>
      <c r="L552" s="11">
        <v>146.67806999999999</v>
      </c>
      <c r="M552" s="8" t="s">
        <v>21</v>
      </c>
      <c r="N552" s="8" t="s">
        <v>37</v>
      </c>
      <c r="O552" s="8">
        <v>1</v>
      </c>
      <c r="P552" s="8">
        <v>1</v>
      </c>
    </row>
    <row r="553" spans="1:16" x14ac:dyDescent="0.15">
      <c r="A553" s="9" t="s">
        <v>804</v>
      </c>
      <c r="B553" s="9" t="str">
        <f>VLOOKUP(D553,[1]TASMaps!$H$4:$K$269,3,FALSE)</f>
        <v>TP10</v>
      </c>
      <c r="C553" s="9" t="str">
        <f>VLOOKUP(D553,[1]TASMaps!$H$4:$K$269,4,FALSE)</f>
        <v>Maria</v>
      </c>
      <c r="D553" s="9">
        <v>5828</v>
      </c>
      <c r="E553" s="9" t="s">
        <v>173</v>
      </c>
      <c r="F553" s="9" t="s">
        <v>23</v>
      </c>
      <c r="G553" s="9" t="s">
        <v>62</v>
      </c>
      <c r="H553" s="8" t="s">
        <v>20</v>
      </c>
      <c r="I553" s="10">
        <v>590890</v>
      </c>
      <c r="J553" s="10">
        <v>5281740</v>
      </c>
      <c r="K553" s="11">
        <v>-42.611420000000003</v>
      </c>
      <c r="L553" s="11">
        <v>148.10813999999999</v>
      </c>
      <c r="N553" s="8" t="s">
        <v>37</v>
      </c>
      <c r="P553" s="8">
        <v>1</v>
      </c>
    </row>
    <row r="554" spans="1:16" x14ac:dyDescent="0.15">
      <c r="A554" s="7" t="s">
        <v>805</v>
      </c>
      <c r="B554" s="9" t="str">
        <f>VLOOKUP(D554,[1]TASMaps!$H$4:$K$269,3,FALSE)</f>
        <v>TN05</v>
      </c>
      <c r="C554" s="9" t="str">
        <f>VLOOKUP(D554,[1]TASMaps!$H$4:$K$269,4,FALSE)</f>
        <v>Frenchmans</v>
      </c>
      <c r="D554" s="9">
        <v>3832</v>
      </c>
      <c r="E554" s="9" t="s">
        <v>235</v>
      </c>
      <c r="F554" s="9" t="s">
        <v>30</v>
      </c>
      <c r="G554" s="9" t="s">
        <v>24</v>
      </c>
      <c r="H554" s="8" t="s">
        <v>20</v>
      </c>
      <c r="I554" s="10">
        <v>399860</v>
      </c>
      <c r="J554" s="10">
        <v>5327820</v>
      </c>
      <c r="K554" s="11">
        <v>-42.195369999999997</v>
      </c>
      <c r="L554" s="11">
        <v>145.78712999999999</v>
      </c>
      <c r="N554" s="8" t="s">
        <v>37</v>
      </c>
      <c r="O554" s="8">
        <v>2</v>
      </c>
      <c r="P554" s="8">
        <v>2</v>
      </c>
    </row>
    <row r="555" spans="1:16" x14ac:dyDescent="0.15">
      <c r="A555" s="7" t="s">
        <v>806</v>
      </c>
      <c r="B555" s="9" t="str">
        <f>VLOOKUP(D555,[1]TASMaps!$H$4:$K$269,3,FALSE)</f>
        <v>TL06</v>
      </c>
      <c r="C555" s="9" t="str">
        <f>VLOOKUP(D555,[1]TASMaps!$H$4:$K$269,4,FALSE)</f>
        <v>Jerusalem</v>
      </c>
      <c r="D555" s="9">
        <v>4236</v>
      </c>
      <c r="E555" s="9" t="s">
        <v>177</v>
      </c>
      <c r="F555" s="9" t="s">
        <v>30</v>
      </c>
      <c r="G555" s="9" t="s">
        <v>33</v>
      </c>
      <c r="H555" s="8" t="s">
        <v>20</v>
      </c>
      <c r="I555" s="10">
        <v>422375</v>
      </c>
      <c r="J555" s="10">
        <v>5360255</v>
      </c>
      <c r="K555" s="11">
        <v>-41.905839999999998</v>
      </c>
      <c r="L555" s="11">
        <v>146.06407999999999</v>
      </c>
      <c r="M555" s="8" t="s">
        <v>21</v>
      </c>
      <c r="N555" s="8">
        <v>4</v>
      </c>
      <c r="O555" s="8">
        <v>4</v>
      </c>
      <c r="P555" s="8">
        <v>5</v>
      </c>
    </row>
    <row r="556" spans="1:16" x14ac:dyDescent="0.15">
      <c r="A556" s="7" t="s">
        <v>807</v>
      </c>
      <c r="B556" s="9" t="str">
        <f>VLOOKUP(D556,[1]TASMaps!$H$4:$K$269,3,FALSE)</f>
        <v>TN05</v>
      </c>
      <c r="C556" s="9" t="str">
        <f>VLOOKUP(D556,[1]TASMaps!$H$4:$K$269,4,FALSE)</f>
        <v>Frenchmans</v>
      </c>
      <c r="D556" s="9">
        <v>3832</v>
      </c>
      <c r="E556" s="9" t="s">
        <v>235</v>
      </c>
      <c r="F556" s="9" t="s">
        <v>30</v>
      </c>
      <c r="G556" s="9" t="s">
        <v>24</v>
      </c>
      <c r="H556" s="8" t="s">
        <v>20</v>
      </c>
      <c r="I556" s="10">
        <v>396970</v>
      </c>
      <c r="J556" s="10">
        <v>5325740</v>
      </c>
      <c r="K556" s="11">
        <v>-42.213720000000002</v>
      </c>
      <c r="L556" s="11">
        <v>145.75176999999999</v>
      </c>
      <c r="N556" s="8" t="s">
        <v>37</v>
      </c>
      <c r="O556" s="8">
        <v>1</v>
      </c>
      <c r="P556" s="8">
        <v>1</v>
      </c>
    </row>
    <row r="557" spans="1:16" x14ac:dyDescent="0.15">
      <c r="A557" s="7" t="s">
        <v>808</v>
      </c>
      <c r="B557" s="9" t="str">
        <f>VLOOKUP(D557,[1]TASMaps!$H$4:$K$269,3,FALSE)</f>
        <v>TJ09</v>
      </c>
      <c r="C557" s="9" t="str">
        <f>VLOOKUP(D557,[1]TASMaps!$H$4:$K$269,4,FALSE)</f>
        <v>Legerwood</v>
      </c>
      <c r="D557" s="9">
        <v>5442</v>
      </c>
      <c r="E557" s="9" t="s">
        <v>809</v>
      </c>
      <c r="F557" s="9" t="s">
        <v>30</v>
      </c>
      <c r="G557" s="9" t="s">
        <v>210</v>
      </c>
      <c r="H557" s="8" t="s">
        <v>20</v>
      </c>
      <c r="I557" s="10">
        <v>549145</v>
      </c>
      <c r="J557" s="10">
        <v>5427200</v>
      </c>
      <c r="K557" s="11">
        <v>-41.305160000000001</v>
      </c>
      <c r="L557" s="11">
        <v>147.58707000000001</v>
      </c>
      <c r="M557" s="8" t="s">
        <v>21</v>
      </c>
      <c r="N557" s="8" t="s">
        <v>37</v>
      </c>
      <c r="O557" s="8">
        <v>1</v>
      </c>
      <c r="P557" s="8">
        <v>1</v>
      </c>
    </row>
    <row r="558" spans="1:16" x14ac:dyDescent="0.15">
      <c r="A558" s="7" t="s">
        <v>810</v>
      </c>
      <c r="B558" s="9" t="str">
        <f>VLOOKUP(D558,[1]TASMaps!$H$4:$K$269,3,FALSE)</f>
        <v>TP07</v>
      </c>
      <c r="C558" s="9" t="str">
        <f>VLOOKUP(D558,[1]TASMaps!$H$4:$K$269,4,FALSE)</f>
        <v>Meadowbank</v>
      </c>
      <c r="D558" s="9">
        <v>4627</v>
      </c>
      <c r="E558" s="9" t="s">
        <v>233</v>
      </c>
      <c r="F558" s="9" t="s">
        <v>30</v>
      </c>
      <c r="G558" s="9" t="s">
        <v>19</v>
      </c>
      <c r="H558" s="8" t="s">
        <v>20</v>
      </c>
      <c r="I558" s="10">
        <v>466420</v>
      </c>
      <c r="J558" s="10">
        <v>5273050</v>
      </c>
      <c r="K558" s="11">
        <v>-42.694299999999998</v>
      </c>
      <c r="L558" s="11">
        <v>146.59003999999999</v>
      </c>
      <c r="N558" s="8" t="s">
        <v>37</v>
      </c>
      <c r="O558" s="8">
        <v>1</v>
      </c>
      <c r="P558" s="8">
        <v>1</v>
      </c>
    </row>
    <row r="559" spans="1:16" x14ac:dyDescent="0.15">
      <c r="A559" s="7" t="s">
        <v>811</v>
      </c>
      <c r="B559" s="9" t="str">
        <f>VLOOKUP(D559,[1]TASMaps!$H$4:$K$269,3,FALSE)</f>
        <v>TS07</v>
      </c>
      <c r="C559" s="9" t="str">
        <f>VLOOKUP(D559,[1]TASMaps!$H$4:$K$269,4,FALSE)</f>
        <v>Adamsons</v>
      </c>
      <c r="D559" s="9">
        <v>4618</v>
      </c>
      <c r="E559" s="9" t="s">
        <v>343</v>
      </c>
      <c r="F559" s="9" t="s">
        <v>116</v>
      </c>
      <c r="G559" s="9" t="s">
        <v>27</v>
      </c>
      <c r="H559" s="8" t="s">
        <v>20</v>
      </c>
      <c r="I559" s="10">
        <v>477530</v>
      </c>
      <c r="J559" s="10">
        <v>5184340</v>
      </c>
      <c r="K559" s="11">
        <v>-43.49353</v>
      </c>
      <c r="L559" s="11">
        <v>146.72209000000001</v>
      </c>
      <c r="N559" s="8" t="s">
        <v>37</v>
      </c>
      <c r="P559" s="8">
        <v>1</v>
      </c>
    </row>
    <row r="560" spans="1:16" x14ac:dyDescent="0.15">
      <c r="A560" s="7" t="s">
        <v>812</v>
      </c>
      <c r="B560" s="9" t="str">
        <f>VLOOKUP(D560,[1]TASMaps!$H$4:$K$269,3,FALSE)</f>
        <v>TM10</v>
      </c>
      <c r="C560" s="9" t="str">
        <f>VLOOKUP(D560,[1]TASMaps!$H$4:$K$269,4,FALSE)</f>
        <v>Moulting Lagoon</v>
      </c>
      <c r="D560" s="9">
        <v>6033</v>
      </c>
      <c r="E560" s="9" t="s">
        <v>61</v>
      </c>
      <c r="F560" s="9" t="s">
        <v>30</v>
      </c>
      <c r="G560" s="9" t="s">
        <v>62</v>
      </c>
      <c r="H560" s="8" t="s">
        <v>20</v>
      </c>
      <c r="I560" s="10">
        <v>605890</v>
      </c>
      <c r="J560" s="10">
        <v>5331910</v>
      </c>
      <c r="K560" s="11">
        <v>-42.157780000000002</v>
      </c>
      <c r="L560" s="11">
        <v>148.28174999999999</v>
      </c>
      <c r="N560" s="8" t="s">
        <v>37</v>
      </c>
      <c r="O560" s="8">
        <v>1</v>
      </c>
      <c r="P560" s="8">
        <v>1</v>
      </c>
    </row>
    <row r="561" spans="1:16" x14ac:dyDescent="0.15">
      <c r="A561" s="7" t="s">
        <v>813</v>
      </c>
      <c r="B561" s="9" t="str">
        <f>VLOOKUP(D561,[1]TASMaps!$H$4:$K$269,3,FALSE)</f>
        <v>TN05</v>
      </c>
      <c r="C561" s="9" t="str">
        <f>VLOOKUP(D561,[1]TASMaps!$H$4:$K$269,4,FALSE)</f>
        <v>Frenchmans</v>
      </c>
      <c r="D561" s="9">
        <v>3830</v>
      </c>
      <c r="E561" s="9" t="s">
        <v>375</v>
      </c>
      <c r="F561" s="9" t="s">
        <v>30</v>
      </c>
      <c r="G561" s="9" t="s">
        <v>24</v>
      </c>
      <c r="H561" s="8" t="s">
        <v>20</v>
      </c>
      <c r="I561" s="10">
        <v>394990</v>
      </c>
      <c r="J561" s="10">
        <v>5308220</v>
      </c>
      <c r="K561" s="11">
        <v>-42.371200000000002</v>
      </c>
      <c r="L561" s="11">
        <v>145.72460000000001</v>
      </c>
      <c r="N561" s="8" t="s">
        <v>37</v>
      </c>
      <c r="O561" s="8">
        <v>1</v>
      </c>
      <c r="P561" s="8">
        <v>1</v>
      </c>
    </row>
    <row r="562" spans="1:16" x14ac:dyDescent="0.15">
      <c r="A562" s="7" t="s">
        <v>814</v>
      </c>
      <c r="B562" s="9" t="str">
        <f>VLOOKUP(D562,[1]TASMaps!$H$4:$K$269,3,FALSE)</f>
        <v>TN05</v>
      </c>
      <c r="C562" s="9" t="str">
        <f>VLOOKUP(D562,[1]TASMaps!$H$4:$K$269,4,FALSE)</f>
        <v>Frenchmans</v>
      </c>
      <c r="D562" s="9">
        <v>3830</v>
      </c>
      <c r="E562" s="9" t="s">
        <v>375</v>
      </c>
      <c r="F562" s="9" t="s">
        <v>30</v>
      </c>
      <c r="G562" s="9" t="s">
        <v>24</v>
      </c>
      <c r="H562" s="8" t="s">
        <v>20</v>
      </c>
      <c r="I562" s="10">
        <v>390640</v>
      </c>
      <c r="J562" s="10">
        <v>5308270</v>
      </c>
      <c r="K562" s="11">
        <v>-42.370150000000002</v>
      </c>
      <c r="L562" s="11">
        <v>145.67178999999999</v>
      </c>
      <c r="N562" s="8" t="s">
        <v>37</v>
      </c>
      <c r="O562" s="8">
        <v>1</v>
      </c>
      <c r="P562" s="8">
        <v>1</v>
      </c>
    </row>
    <row r="563" spans="1:16" x14ac:dyDescent="0.15">
      <c r="A563" s="9" t="s">
        <v>815</v>
      </c>
      <c r="B563" s="9" t="str">
        <f>VLOOKUP(D563,[1]TASMaps!$H$4:$K$269,3,FALSE)</f>
        <v>TN06</v>
      </c>
      <c r="C563" s="9" t="str">
        <f>VLOOKUP(D563,[1]TASMaps!$H$4:$K$269,4,FALSE)</f>
        <v>King William</v>
      </c>
      <c r="D563" s="9">
        <v>4232</v>
      </c>
      <c r="E563" s="9" t="s">
        <v>80</v>
      </c>
      <c r="F563" s="9" t="s">
        <v>23</v>
      </c>
      <c r="G563" s="9" t="s">
        <v>24</v>
      </c>
      <c r="H563" s="8" t="s">
        <v>20</v>
      </c>
      <c r="I563" s="10">
        <v>421860</v>
      </c>
      <c r="J563" s="10">
        <v>5325100</v>
      </c>
      <c r="K563" s="11">
        <v>-42.222369999999998</v>
      </c>
      <c r="L563" s="11">
        <v>146.05318</v>
      </c>
      <c r="N563" s="8" t="s">
        <v>37</v>
      </c>
      <c r="P563" s="8">
        <v>1</v>
      </c>
    </row>
    <row r="564" spans="1:16" x14ac:dyDescent="0.15">
      <c r="A564" s="9" t="s">
        <v>816</v>
      </c>
      <c r="B564" s="9" t="str">
        <f>VLOOKUP(D564,[1]TASMaps!$H$4:$K$269,3,FALSE)</f>
        <v>TS07</v>
      </c>
      <c r="C564" s="9" t="str">
        <f>VLOOKUP(D564,[1]TASMaps!$H$4:$K$269,4,FALSE)</f>
        <v>Adamsons</v>
      </c>
      <c r="D564" s="9">
        <v>4620</v>
      </c>
      <c r="E564" s="9" t="s">
        <v>212</v>
      </c>
      <c r="F564" s="9" t="s">
        <v>30</v>
      </c>
      <c r="G564" s="9" t="s">
        <v>27</v>
      </c>
      <c r="H564" s="8" t="s">
        <v>20</v>
      </c>
      <c r="I564" s="10">
        <v>467550</v>
      </c>
      <c r="J564" s="10">
        <v>5206740</v>
      </c>
      <c r="K564" s="11">
        <v>-43.291469999999997</v>
      </c>
      <c r="L564" s="11">
        <v>146.59998999999999</v>
      </c>
      <c r="N564" s="8" t="s">
        <v>37</v>
      </c>
      <c r="P564" s="8">
        <v>1</v>
      </c>
    </row>
    <row r="565" spans="1:16" x14ac:dyDescent="0.15">
      <c r="A565" s="7" t="s">
        <v>817</v>
      </c>
      <c r="B565" s="9" t="str">
        <f>VLOOKUP(D565,[1]TASMaps!$H$4:$K$269,3,FALSE)</f>
        <v>TL06</v>
      </c>
      <c r="C565" s="9" t="str">
        <f>VLOOKUP(D565,[1]TASMaps!$H$4:$K$269,4,FALSE)</f>
        <v>Jerusalem</v>
      </c>
      <c r="D565" s="9">
        <v>4438</v>
      </c>
      <c r="E565" s="9" t="s">
        <v>124</v>
      </c>
      <c r="F565" s="9" t="s">
        <v>30</v>
      </c>
      <c r="G565" s="9" t="s">
        <v>33</v>
      </c>
      <c r="H565" s="8" t="s">
        <v>20</v>
      </c>
      <c r="I565" s="10">
        <v>459720</v>
      </c>
      <c r="J565" s="10">
        <v>5380300</v>
      </c>
      <c r="K565" s="11">
        <v>-41.728090000000002</v>
      </c>
      <c r="L565" s="11">
        <v>146.51569000000001</v>
      </c>
      <c r="N565" s="8" t="s">
        <v>37</v>
      </c>
      <c r="P565" s="8">
        <v>2</v>
      </c>
    </row>
    <row r="566" spans="1:16" x14ac:dyDescent="0.15">
      <c r="A566" s="7" t="s">
        <v>818</v>
      </c>
      <c r="B566" s="9" t="str">
        <f>VLOOKUP(D566,[1]TASMaps!$H$4:$K$269,3,FALSE)</f>
        <v>TS06</v>
      </c>
      <c r="C566" s="9" t="str">
        <f>VLOOKUP(D566,[1]TASMaps!$H$4:$K$269,4,FALSE)</f>
        <v>Bathurst</v>
      </c>
      <c r="D566" s="9">
        <v>4218</v>
      </c>
      <c r="E566" s="9" t="s">
        <v>237</v>
      </c>
      <c r="F566" s="9" t="s">
        <v>30</v>
      </c>
      <c r="G566" s="9" t="s">
        <v>27</v>
      </c>
      <c r="H566" s="8" t="s">
        <v>20</v>
      </c>
      <c r="I566" s="10">
        <v>426710</v>
      </c>
      <c r="J566" s="10">
        <v>5185940</v>
      </c>
      <c r="K566" s="11">
        <v>-43.47587</v>
      </c>
      <c r="L566" s="11">
        <v>146.09380999999999</v>
      </c>
      <c r="N566" s="8" t="s">
        <v>37</v>
      </c>
      <c r="O566" s="8">
        <v>1</v>
      </c>
      <c r="P566" s="8">
        <v>1</v>
      </c>
    </row>
    <row r="567" spans="1:16" x14ac:dyDescent="0.15">
      <c r="A567" s="7" t="s">
        <v>819</v>
      </c>
      <c r="B567" s="9" t="str">
        <f>VLOOKUP(D567,[1]TASMaps!$H$4:$K$269,3,FALSE)</f>
        <v>TK09</v>
      </c>
      <c r="C567" s="9" t="str">
        <f>VLOOKUP(D567,[1]TASMaps!$H$4:$K$269,4,FALSE)</f>
        <v>Ben Lomond</v>
      </c>
      <c r="D567" s="9">
        <v>5439</v>
      </c>
      <c r="E567" s="9" t="s">
        <v>95</v>
      </c>
      <c r="F567" s="9" t="s">
        <v>820</v>
      </c>
      <c r="G567" s="9" t="s">
        <v>78</v>
      </c>
      <c r="H567" s="8" t="s">
        <v>20</v>
      </c>
      <c r="I567" s="10">
        <v>553570</v>
      </c>
      <c r="J567" s="10">
        <v>5396300</v>
      </c>
      <c r="K567" s="11">
        <v>-41.583199999999998</v>
      </c>
      <c r="L567" s="11">
        <v>147.64266000000001</v>
      </c>
      <c r="M567" s="8" t="s">
        <v>21</v>
      </c>
      <c r="N567" s="8">
        <v>1</v>
      </c>
      <c r="O567" s="8">
        <v>1</v>
      </c>
      <c r="P567" s="8">
        <v>1</v>
      </c>
    </row>
    <row r="568" spans="1:16" x14ac:dyDescent="0.15">
      <c r="A568" s="7" t="s">
        <v>821</v>
      </c>
      <c r="B568" s="9" t="str">
        <f>VLOOKUP(D568,[1]TASMaps!$H$4:$K$269,3,FALSE)</f>
        <v>TP08</v>
      </c>
      <c r="C568" s="9" t="str">
        <f>VLOOKUP(D568,[1]TASMaps!$H$4:$K$269,4,FALSE)</f>
        <v>Green Ponds</v>
      </c>
      <c r="D568" s="9">
        <v>5229</v>
      </c>
      <c r="E568" s="9" t="s">
        <v>188</v>
      </c>
      <c r="F568" s="9" t="s">
        <v>30</v>
      </c>
      <c r="G568" s="9" t="s">
        <v>59</v>
      </c>
      <c r="H568" s="8" t="s">
        <v>20</v>
      </c>
      <c r="I568" s="10">
        <v>523610</v>
      </c>
      <c r="J568" s="10">
        <v>5296540</v>
      </c>
      <c r="K568" s="11">
        <v>-42.483130000000003</v>
      </c>
      <c r="L568" s="11">
        <v>147.28727000000001</v>
      </c>
      <c r="N568" s="8" t="s">
        <v>37</v>
      </c>
      <c r="P568" s="8">
        <v>1</v>
      </c>
    </row>
    <row r="569" spans="1:16" x14ac:dyDescent="0.15">
      <c r="A569" s="7" t="s">
        <v>822</v>
      </c>
      <c r="B569" s="9" t="str">
        <f>VLOOKUP(D569,[1]TASMaps!$H$4:$K$269,3,FALSE)</f>
        <v>TK04</v>
      </c>
      <c r="C569" s="9" t="str">
        <f>VLOOKUP(D569,[1]TASMaps!$H$4:$K$269,4,FALSE)</f>
        <v>White River</v>
      </c>
      <c r="D569" s="9">
        <v>3439</v>
      </c>
      <c r="E569" s="9" t="s">
        <v>769</v>
      </c>
      <c r="F569" s="9" t="s">
        <v>30</v>
      </c>
      <c r="G569" s="9" t="s">
        <v>117</v>
      </c>
      <c r="H569" s="8" t="s">
        <v>20</v>
      </c>
      <c r="I569" s="10">
        <v>353770</v>
      </c>
      <c r="J569" s="10">
        <v>5396670</v>
      </c>
      <c r="K569" s="11">
        <v>-41.568269999999998</v>
      </c>
      <c r="L569" s="11">
        <v>145.24615</v>
      </c>
      <c r="N569" s="8" t="s">
        <v>37</v>
      </c>
      <c r="O569" s="8">
        <v>2</v>
      </c>
      <c r="P569" s="8">
        <v>2</v>
      </c>
    </row>
    <row r="570" spans="1:16" x14ac:dyDescent="0.15">
      <c r="A570" s="7" t="s">
        <v>823</v>
      </c>
      <c r="B570" s="9" t="str">
        <f>VLOOKUP(D570,[1]TASMaps!$H$4:$K$269,3,FALSE)</f>
        <v>TL06</v>
      </c>
      <c r="C570" s="9" t="str">
        <f>VLOOKUP(D570,[1]TASMaps!$H$4:$K$269,4,FALSE)</f>
        <v>Jerusalem</v>
      </c>
      <c r="D570" s="9">
        <v>4437</v>
      </c>
      <c r="E570" s="9" t="s">
        <v>448</v>
      </c>
      <c r="F570" s="9" t="s">
        <v>30</v>
      </c>
      <c r="G570" s="9" t="s">
        <v>33</v>
      </c>
      <c r="H570" s="8" t="s">
        <v>20</v>
      </c>
      <c r="I570" s="10">
        <v>444600</v>
      </c>
      <c r="J570" s="10">
        <v>5375330</v>
      </c>
      <c r="K570" s="11">
        <v>-41.771940000000001</v>
      </c>
      <c r="L570" s="11">
        <v>146.33344</v>
      </c>
      <c r="M570" s="8" t="s">
        <v>21</v>
      </c>
      <c r="N570" s="8" t="s">
        <v>37</v>
      </c>
      <c r="O570" s="8">
        <v>1</v>
      </c>
      <c r="P570" s="8">
        <v>1</v>
      </c>
    </row>
    <row r="571" spans="1:16" x14ac:dyDescent="0.15">
      <c r="A571" s="9" t="s">
        <v>824</v>
      </c>
      <c r="B571" s="9" t="str">
        <f>VLOOKUP(D571,[1]TASMaps!$H$4:$K$269,3,FALSE)</f>
        <v>TL04</v>
      </c>
      <c r="C571" s="9" t="str">
        <f>VLOOKUP(D571,[1]TASMaps!$H$4:$K$269,4,FALSE)</f>
        <v>Lake Pieman</v>
      </c>
      <c r="D571" s="9">
        <v>3638</v>
      </c>
      <c r="E571" s="9" t="s">
        <v>249</v>
      </c>
      <c r="F571" s="9" t="s">
        <v>30</v>
      </c>
      <c r="G571" s="9" t="s">
        <v>117</v>
      </c>
      <c r="H571" s="8" t="s">
        <v>20</v>
      </c>
      <c r="I571" s="10">
        <v>371190</v>
      </c>
      <c r="J571" s="10">
        <v>5383930</v>
      </c>
      <c r="K571" s="11">
        <v>-41.685980000000001</v>
      </c>
      <c r="L571" s="11">
        <v>145.45226</v>
      </c>
      <c r="N571" s="8" t="s">
        <v>37</v>
      </c>
      <c r="P571" s="8">
        <v>1</v>
      </c>
    </row>
    <row r="572" spans="1:16" x14ac:dyDescent="0.15">
      <c r="A572" s="7" t="s">
        <v>825</v>
      </c>
      <c r="B572" s="9" t="str">
        <f>VLOOKUP(D572,[1]TASMaps!$H$4:$K$269,3,FALSE)</f>
        <v>TS07</v>
      </c>
      <c r="C572" s="9" t="str">
        <f>VLOOKUP(D572,[1]TASMaps!$H$4:$K$269,4,FALSE)</f>
        <v>Adamsons</v>
      </c>
      <c r="D572" s="9">
        <v>4820</v>
      </c>
      <c r="E572" s="9" t="s">
        <v>39</v>
      </c>
      <c r="F572" s="9" t="s">
        <v>18</v>
      </c>
      <c r="G572" s="9" t="s">
        <v>27</v>
      </c>
      <c r="H572" s="8" t="s">
        <v>20</v>
      </c>
      <c r="I572" s="10">
        <v>482280</v>
      </c>
      <c r="J572" s="10">
        <v>5200307</v>
      </c>
      <c r="K572" s="11">
        <v>-43.349879999999999</v>
      </c>
      <c r="L572" s="11">
        <v>146.78135</v>
      </c>
      <c r="N572" s="8" t="s">
        <v>37</v>
      </c>
      <c r="O572" s="8">
        <v>1</v>
      </c>
      <c r="P572" s="8">
        <v>1</v>
      </c>
    </row>
    <row r="573" spans="1:16" x14ac:dyDescent="0.15">
      <c r="A573" s="9" t="s">
        <v>826</v>
      </c>
      <c r="B573" s="9" t="str">
        <f>VLOOKUP(D573,[1]TASMaps!$H$4:$K$269,3,FALSE)</f>
        <v>TJ10</v>
      </c>
      <c r="C573" s="9" t="str">
        <f>VLOOKUP(D573,[1]TASMaps!$H$4:$K$269,4,FALSE)</f>
        <v>Bay of Fires</v>
      </c>
      <c r="D573" s="9">
        <v>5844</v>
      </c>
      <c r="E573" s="9" t="s">
        <v>827</v>
      </c>
      <c r="F573" s="9" t="s">
        <v>30</v>
      </c>
      <c r="G573" s="9" t="s">
        <v>44</v>
      </c>
      <c r="H573" s="8" t="s">
        <v>20</v>
      </c>
      <c r="I573" s="10">
        <v>584430</v>
      </c>
      <c r="J573" s="10">
        <v>5440650</v>
      </c>
      <c r="K573" s="11">
        <v>-41.181100000000001</v>
      </c>
      <c r="L573" s="11">
        <v>148.00666000000001</v>
      </c>
      <c r="N573" s="8" t="s">
        <v>37</v>
      </c>
      <c r="P573" s="8">
        <v>1</v>
      </c>
    </row>
    <row r="574" spans="1:16" x14ac:dyDescent="0.15">
      <c r="A574" s="7" t="s">
        <v>828</v>
      </c>
      <c r="B574" s="9" t="str">
        <f>VLOOKUP(D574,[1]TASMaps!$H$4:$K$269,3,FALSE)</f>
        <v>TK09</v>
      </c>
      <c r="C574" s="9" t="str">
        <f>VLOOKUP(D574,[1]TASMaps!$H$4:$K$269,4,FALSE)</f>
        <v>Ben Lomond</v>
      </c>
      <c r="D574" s="9">
        <v>5439</v>
      </c>
      <c r="E574" s="9" t="s">
        <v>95</v>
      </c>
      <c r="F574" s="9" t="s">
        <v>18</v>
      </c>
      <c r="G574" s="9" t="s">
        <v>78</v>
      </c>
      <c r="H574" s="8" t="s">
        <v>20</v>
      </c>
      <c r="I574" s="10">
        <v>548210</v>
      </c>
      <c r="J574" s="10">
        <v>5391400</v>
      </c>
      <c r="K574" s="11">
        <v>-41.627670000000002</v>
      </c>
      <c r="L574" s="11">
        <v>147.57875999999999</v>
      </c>
      <c r="N574" s="8" t="s">
        <v>37</v>
      </c>
      <c r="P574" s="8">
        <v>1</v>
      </c>
    </row>
    <row r="575" spans="1:16" x14ac:dyDescent="0.15">
      <c r="A575" s="9" t="s">
        <v>829</v>
      </c>
      <c r="B575" s="9" t="str">
        <f>VLOOKUP(D575,[1]TASMaps!$H$4:$K$269,3,FALSE)</f>
        <v>TQ09</v>
      </c>
      <c r="C575" s="9" t="str">
        <f>VLOOKUP(D575,[1]TASMaps!$H$4:$K$269,4,FALSE)</f>
        <v>Frederick Henry</v>
      </c>
      <c r="D575" s="9">
        <v>5626</v>
      </c>
      <c r="E575" s="9" t="s">
        <v>676</v>
      </c>
      <c r="F575" s="9" t="s">
        <v>23</v>
      </c>
      <c r="G575" s="9" t="s">
        <v>677</v>
      </c>
      <c r="H575" s="8" t="s">
        <v>20</v>
      </c>
      <c r="I575" s="10">
        <v>567550</v>
      </c>
      <c r="J575" s="10">
        <v>5269970</v>
      </c>
      <c r="K575" s="11">
        <v>-42.719799999999999</v>
      </c>
      <c r="L575" s="11">
        <v>147.82500999999999</v>
      </c>
      <c r="N575" s="8" t="s">
        <v>37</v>
      </c>
      <c r="P575" s="8">
        <v>1</v>
      </c>
    </row>
    <row r="576" spans="1:16" x14ac:dyDescent="0.15">
      <c r="A576" s="9" t="s">
        <v>830</v>
      </c>
      <c r="B576" s="9" t="str">
        <f>VLOOKUP(D576,[1]TASMaps!$H$4:$K$269,3,FALSE)</f>
        <v>TS08</v>
      </c>
      <c r="C576" s="9" t="str">
        <f>VLOOKUP(D576,[1]TASMaps!$H$4:$K$269,4,FALSE)</f>
        <v>South Bruny</v>
      </c>
      <c r="D576" s="9">
        <v>5219</v>
      </c>
      <c r="E576" s="9" t="s">
        <v>109</v>
      </c>
      <c r="F576" s="9" t="s">
        <v>30</v>
      </c>
      <c r="G576" s="9" t="s">
        <v>110</v>
      </c>
      <c r="H576" s="8" t="s">
        <v>20</v>
      </c>
      <c r="I576" s="10">
        <v>524070</v>
      </c>
      <c r="J576" s="10">
        <v>5192800</v>
      </c>
      <c r="K576" s="11">
        <v>-43.417299999999997</v>
      </c>
      <c r="L576" s="11">
        <v>147.29732999999999</v>
      </c>
      <c r="N576" s="8" t="s">
        <v>37</v>
      </c>
      <c r="P576" s="8">
        <v>1</v>
      </c>
    </row>
    <row r="577" spans="1:16" x14ac:dyDescent="0.15">
      <c r="A577" s="7" t="s">
        <v>831</v>
      </c>
      <c r="B577" s="9" t="str">
        <f>VLOOKUP(D577,[1]TASMaps!$H$4:$K$269,3,FALSE)</f>
        <v>TM08</v>
      </c>
      <c r="C577" s="9" t="str">
        <f>VLOOKUP(D577,[1]TASMaps!$H$4:$K$269,4,FALSE)</f>
        <v>Dogs Head Tier</v>
      </c>
      <c r="D577" s="9">
        <v>5035</v>
      </c>
      <c r="E577" s="9" t="s">
        <v>626</v>
      </c>
      <c r="F577" s="9" t="s">
        <v>30</v>
      </c>
      <c r="G577" s="9" t="s">
        <v>36</v>
      </c>
      <c r="H577" s="8" t="s">
        <v>20</v>
      </c>
      <c r="I577" s="10">
        <v>514320</v>
      </c>
      <c r="J577" s="10">
        <v>5357380</v>
      </c>
      <c r="K577" s="11">
        <v>-41.935420000000001</v>
      </c>
      <c r="L577" s="11">
        <v>147.17274</v>
      </c>
      <c r="M577" s="8" t="s">
        <v>21</v>
      </c>
      <c r="N577" s="8" t="s">
        <v>37</v>
      </c>
      <c r="O577" s="8">
        <v>2</v>
      </c>
      <c r="P577" s="8">
        <v>2</v>
      </c>
    </row>
    <row r="578" spans="1:16" x14ac:dyDescent="0.15">
      <c r="A578" s="7" t="s">
        <v>832</v>
      </c>
      <c r="B578" s="9" t="str">
        <f>VLOOKUP(D578,[1]TASMaps!$H$4:$K$269,3,FALSE)</f>
        <v>TN06</v>
      </c>
      <c r="C578" s="9" t="str">
        <f>VLOOKUP(D578,[1]TASMaps!$H$4:$K$269,4,FALSE)</f>
        <v>King William</v>
      </c>
      <c r="D578" s="9">
        <v>4232</v>
      </c>
      <c r="E578" s="9" t="s">
        <v>80</v>
      </c>
      <c r="F578" s="9" t="s">
        <v>23</v>
      </c>
      <c r="G578" s="9" t="s">
        <v>36</v>
      </c>
      <c r="H578" s="8" t="s">
        <v>20</v>
      </c>
      <c r="I578" s="10">
        <v>428460</v>
      </c>
      <c r="J578" s="10">
        <v>5324770</v>
      </c>
      <c r="K578" s="11">
        <v>-42.225969999999997</v>
      </c>
      <c r="L578" s="11">
        <v>146.13310000000001</v>
      </c>
      <c r="N578" s="8" t="s">
        <v>37</v>
      </c>
      <c r="O578" s="8">
        <v>1</v>
      </c>
      <c r="P578" s="8">
        <v>1</v>
      </c>
    </row>
    <row r="579" spans="1:16" x14ac:dyDescent="0.15">
      <c r="A579" s="9" t="s">
        <v>833</v>
      </c>
      <c r="B579" s="9" t="str">
        <f>VLOOKUP(D579,[1]TASMaps!$H$4:$K$269,3,FALSE)</f>
        <v>TJ06</v>
      </c>
      <c r="C579" s="9" t="str">
        <f>VLOOKUP(D579,[1]TASMaps!$H$4:$K$269,4,FALSE)</f>
        <v>Paloona</v>
      </c>
      <c r="D579" s="9">
        <v>4242</v>
      </c>
      <c r="E579" s="9" t="s">
        <v>471</v>
      </c>
      <c r="F579" s="9" t="s">
        <v>30</v>
      </c>
      <c r="G579" s="9" t="s">
        <v>113</v>
      </c>
      <c r="H579" s="8" t="s">
        <v>20</v>
      </c>
      <c r="I579" s="10">
        <v>424260</v>
      </c>
      <c r="J579" s="10">
        <v>5423400</v>
      </c>
      <c r="K579" s="11">
        <v>-41.337330000000001</v>
      </c>
      <c r="L579" s="11">
        <v>146.09479999999999</v>
      </c>
      <c r="N579" s="8" t="s">
        <v>37</v>
      </c>
      <c r="P579" s="8">
        <v>1</v>
      </c>
    </row>
    <row r="580" spans="1:16" x14ac:dyDescent="0.15">
      <c r="A580" s="7" t="s">
        <v>834</v>
      </c>
      <c r="B580" s="9" t="str">
        <f>VLOOKUP(D580,[1]TASMaps!$H$4:$K$269,3,FALSE)</f>
        <v>TM06</v>
      </c>
      <c r="C580" s="9" t="str">
        <f>VLOOKUP(D580,[1]TASMaps!$H$4:$K$269,4,FALSE)</f>
        <v>St Clair</v>
      </c>
      <c r="D580" s="9">
        <v>4235</v>
      </c>
      <c r="E580" s="9" t="s">
        <v>32</v>
      </c>
      <c r="F580" s="9" t="s">
        <v>23</v>
      </c>
      <c r="G580" s="9" t="s">
        <v>36</v>
      </c>
      <c r="H580" s="8" t="s">
        <v>20</v>
      </c>
      <c r="I580" s="10">
        <v>421180</v>
      </c>
      <c r="J580" s="10">
        <v>5353290</v>
      </c>
      <c r="K580" s="11">
        <v>-41.968440000000001</v>
      </c>
      <c r="L580" s="11">
        <v>146.04874000000001</v>
      </c>
      <c r="N580" s="8" t="s">
        <v>37</v>
      </c>
      <c r="O580" s="8">
        <v>1</v>
      </c>
      <c r="P580" s="8">
        <v>2</v>
      </c>
    </row>
    <row r="581" spans="1:16" x14ac:dyDescent="0.15">
      <c r="A581" s="7" t="s">
        <v>835</v>
      </c>
      <c r="B581" s="9" t="str">
        <f>VLOOKUP(D581,[1]TASMaps!$H$4:$K$269,3,FALSE)</f>
        <v>TN09</v>
      </c>
      <c r="C581" s="9" t="str">
        <f>VLOOKUP(D581,[1]TASMaps!$H$4:$K$269,4,FALSE)</f>
        <v>Swanston</v>
      </c>
      <c r="D581" s="9">
        <v>5632</v>
      </c>
      <c r="E581" s="9" t="s">
        <v>765</v>
      </c>
      <c r="F581" s="9" t="s">
        <v>30</v>
      </c>
      <c r="G581" s="9" t="s">
        <v>78</v>
      </c>
      <c r="H581" s="8" t="s">
        <v>20</v>
      </c>
      <c r="I581" s="10">
        <v>560990</v>
      </c>
      <c r="J581" s="10">
        <v>5326770</v>
      </c>
      <c r="K581" s="11">
        <v>-42.208860000000001</v>
      </c>
      <c r="L581" s="11">
        <v>147.73885999999999</v>
      </c>
      <c r="N581" s="8" t="s">
        <v>37</v>
      </c>
      <c r="P581" s="8">
        <v>1</v>
      </c>
    </row>
    <row r="582" spans="1:16" x14ac:dyDescent="0.15">
      <c r="A582" s="7" t="s">
        <v>836</v>
      </c>
      <c r="B582" s="9" t="str">
        <f>VLOOKUP(D582,[1]TASMaps!$H$4:$K$269,3,FALSE)</f>
        <v>TK09</v>
      </c>
      <c r="C582" s="9" t="str">
        <f>VLOOKUP(D582,[1]TASMaps!$H$4:$K$269,4,FALSE)</f>
        <v>Ben Lomond</v>
      </c>
      <c r="D582" s="9">
        <v>5440</v>
      </c>
      <c r="E582" s="9" t="s">
        <v>320</v>
      </c>
      <c r="F582" s="9" t="s">
        <v>30</v>
      </c>
      <c r="G582" s="9" t="s">
        <v>78</v>
      </c>
      <c r="H582" s="8" t="s">
        <v>20</v>
      </c>
      <c r="I582" s="10">
        <v>553690</v>
      </c>
      <c r="J582" s="10">
        <v>5403880</v>
      </c>
      <c r="K582" s="11">
        <v>-41.514919999999996</v>
      </c>
      <c r="L582" s="11">
        <v>147.64343</v>
      </c>
      <c r="N582" s="8" t="s">
        <v>37</v>
      </c>
      <c r="P582" s="8">
        <v>1</v>
      </c>
    </row>
    <row r="583" spans="1:16" x14ac:dyDescent="0.15">
      <c r="A583" s="7" t="s">
        <v>837</v>
      </c>
      <c r="B583" s="9" t="str">
        <f>VLOOKUP(D583,[1]TASMaps!$H$4:$K$269,3,FALSE)</f>
        <v>TQ08</v>
      </c>
      <c r="C583" s="9" t="str">
        <f>VLOOKUP(D583,[1]TASMaps!$H$4:$K$269,4,FALSE)</f>
        <v>Wellington</v>
      </c>
      <c r="D583" s="9">
        <v>5024</v>
      </c>
      <c r="E583" s="9" t="s">
        <v>256</v>
      </c>
      <c r="F583" s="9" t="s">
        <v>30</v>
      </c>
      <c r="G583" s="9" t="s">
        <v>27</v>
      </c>
      <c r="H583" s="8" t="s">
        <v>20</v>
      </c>
      <c r="I583" s="10">
        <v>500580</v>
      </c>
      <c r="J583" s="10">
        <v>5242010</v>
      </c>
      <c r="K583" s="11">
        <v>-42.974559999999997</v>
      </c>
      <c r="L583" s="11">
        <v>147.00711000000001</v>
      </c>
      <c r="N583" s="8" t="s">
        <v>37</v>
      </c>
      <c r="P583" s="8">
        <v>1</v>
      </c>
    </row>
    <row r="584" spans="1:16" x14ac:dyDescent="0.15">
      <c r="A584" s="7" t="s">
        <v>838</v>
      </c>
      <c r="B584" s="9" t="str">
        <f>VLOOKUP(D584,[1]TASMaps!$H$4:$K$269,3,FALSE)</f>
        <v>TM09</v>
      </c>
      <c r="C584" s="9" t="str">
        <f>VLOOKUP(D584,[1]TASMaps!$H$4:$K$269,4,FALSE)</f>
        <v>Lake Leake</v>
      </c>
      <c r="D584" s="9">
        <v>5633</v>
      </c>
      <c r="E584" s="9" t="s">
        <v>839</v>
      </c>
      <c r="F584" s="9" t="s">
        <v>30</v>
      </c>
      <c r="G584" s="9" t="s">
        <v>78</v>
      </c>
      <c r="H584" s="8" t="s">
        <v>20</v>
      </c>
      <c r="I584" s="10">
        <v>563330</v>
      </c>
      <c r="J584" s="10">
        <v>5339500</v>
      </c>
      <c r="K584" s="11">
        <v>-42.094029999999997</v>
      </c>
      <c r="L584" s="11">
        <v>147.76581999999999</v>
      </c>
      <c r="N584" s="8" t="s">
        <v>37</v>
      </c>
      <c r="P584" s="8">
        <v>1</v>
      </c>
    </row>
    <row r="585" spans="1:16" x14ac:dyDescent="0.15">
      <c r="A585" s="7" t="s">
        <v>840</v>
      </c>
      <c r="B585" s="9" t="str">
        <f>VLOOKUP(D585,[1]TASMaps!$H$4:$K$269,3,FALSE)</f>
        <v>TM08</v>
      </c>
      <c r="C585" s="9" t="str">
        <f>VLOOKUP(D585,[1]TASMaps!$H$4:$K$269,4,FALSE)</f>
        <v>Dogs Head Tier</v>
      </c>
      <c r="D585" s="9">
        <v>5035</v>
      </c>
      <c r="E585" s="9" t="s">
        <v>626</v>
      </c>
      <c r="F585" s="9" t="s">
        <v>30</v>
      </c>
      <c r="G585" s="9" t="s">
        <v>36</v>
      </c>
      <c r="H585" s="8" t="s">
        <v>20</v>
      </c>
      <c r="I585" s="10">
        <v>515830</v>
      </c>
      <c r="J585" s="10">
        <v>5353660</v>
      </c>
      <c r="K585" s="11">
        <v>-41.968890000000002</v>
      </c>
      <c r="L585" s="11">
        <v>147.19104999999999</v>
      </c>
      <c r="N585" s="8" t="s">
        <v>37</v>
      </c>
      <c r="O585" s="8">
        <v>1</v>
      </c>
      <c r="P585" s="8">
        <v>1</v>
      </c>
    </row>
    <row r="586" spans="1:16" x14ac:dyDescent="0.15">
      <c r="A586" s="9" t="s">
        <v>841</v>
      </c>
      <c r="B586" s="9" t="str">
        <f>VLOOKUP(D586,[1]TASMaps!$H$4:$K$269,3,FALSE)</f>
        <v>TP07</v>
      </c>
      <c r="C586" s="9" t="str">
        <f>VLOOKUP(D586,[1]TASMaps!$H$4:$K$269,4,FALSE)</f>
        <v>Meadowbank</v>
      </c>
      <c r="D586" s="9">
        <v>4627</v>
      </c>
      <c r="E586" s="9" t="s">
        <v>233</v>
      </c>
      <c r="F586" s="9" t="s">
        <v>30</v>
      </c>
      <c r="G586" s="9" t="s">
        <v>19</v>
      </c>
      <c r="H586" s="8" t="s">
        <v>20</v>
      </c>
      <c r="I586" s="10">
        <v>469360</v>
      </c>
      <c r="J586" s="10">
        <v>5274170</v>
      </c>
      <c r="K586" s="11">
        <v>-42.684339999999999</v>
      </c>
      <c r="L586" s="11">
        <v>146.626</v>
      </c>
      <c r="N586" s="8" t="s">
        <v>37</v>
      </c>
      <c r="P586" s="8">
        <v>2</v>
      </c>
    </row>
    <row r="587" spans="1:16" x14ac:dyDescent="0.15">
      <c r="A587" s="7" t="s">
        <v>842</v>
      </c>
      <c r="B587" s="9" t="str">
        <f>VLOOKUP(D587,[1]TASMaps!$H$4:$K$269,3,FALSE)</f>
        <v>TQ08</v>
      </c>
      <c r="C587" s="9" t="str">
        <f>VLOOKUP(D587,[1]TASMaps!$H$4:$K$269,4,FALSE)</f>
        <v>Wellington</v>
      </c>
      <c r="D587" s="9">
        <v>5024</v>
      </c>
      <c r="E587" s="9" t="s">
        <v>256</v>
      </c>
      <c r="F587" s="9" t="s">
        <v>18</v>
      </c>
      <c r="G587" s="9" t="s">
        <v>110</v>
      </c>
      <c r="H587" s="8" t="s">
        <v>20</v>
      </c>
      <c r="I587" s="10">
        <v>514710</v>
      </c>
      <c r="J587" s="10">
        <v>5246760</v>
      </c>
      <c r="K587" s="11">
        <v>-42.931649999999998</v>
      </c>
      <c r="L587" s="11">
        <v>147.18027000000001</v>
      </c>
      <c r="N587" s="8" t="s">
        <v>37</v>
      </c>
      <c r="P587" s="8">
        <v>1</v>
      </c>
    </row>
    <row r="588" spans="1:16" x14ac:dyDescent="0.15">
      <c r="A588" s="7" t="s">
        <v>843</v>
      </c>
      <c r="B588" s="9" t="str">
        <f>VLOOKUP(D588,[1]TASMaps!$H$4:$K$269,3,FALSE)</f>
        <v>TQ08</v>
      </c>
      <c r="C588" s="9" t="str">
        <f>VLOOKUP(D588,[1]TASMaps!$H$4:$K$269,4,FALSE)</f>
        <v>Wellington</v>
      </c>
      <c r="D588" s="9">
        <v>5024</v>
      </c>
      <c r="E588" s="9" t="s">
        <v>256</v>
      </c>
      <c r="F588" s="9" t="s">
        <v>30</v>
      </c>
      <c r="G588" s="9" t="s">
        <v>110</v>
      </c>
      <c r="H588" s="8" t="s">
        <v>20</v>
      </c>
      <c r="I588" s="10">
        <v>514050</v>
      </c>
      <c r="J588" s="10">
        <v>5247980</v>
      </c>
      <c r="K588" s="11">
        <v>-42.920670000000001</v>
      </c>
      <c r="L588" s="11">
        <v>147.17214999999999</v>
      </c>
      <c r="N588" s="8" t="s">
        <v>37</v>
      </c>
      <c r="O588" s="8">
        <v>2</v>
      </c>
      <c r="P588" s="8">
        <v>2</v>
      </c>
    </row>
    <row r="589" spans="1:16" x14ac:dyDescent="0.15">
      <c r="A589" s="7" t="s">
        <v>844</v>
      </c>
      <c r="B589" s="9" t="str">
        <f>VLOOKUP(D589,[1]TASMaps!$H$4:$K$269,3,FALSE)</f>
        <v>TJ06</v>
      </c>
      <c r="C589" s="9" t="str">
        <f>VLOOKUP(D589,[1]TASMaps!$H$4:$K$269,4,FALSE)</f>
        <v>Paloona</v>
      </c>
      <c r="D589" s="9">
        <v>4244</v>
      </c>
      <c r="E589" s="9" t="s">
        <v>845</v>
      </c>
      <c r="F589" s="9" t="s">
        <v>30</v>
      </c>
      <c r="G589" s="9" t="s">
        <v>113</v>
      </c>
      <c r="H589" s="8" t="s">
        <v>20</v>
      </c>
      <c r="I589" s="10">
        <v>421570</v>
      </c>
      <c r="J589" s="10">
        <v>5444070</v>
      </c>
      <c r="K589" s="11">
        <v>-41.1509</v>
      </c>
      <c r="L589" s="11">
        <v>146.06531000000001</v>
      </c>
      <c r="N589" s="8" t="s">
        <v>37</v>
      </c>
      <c r="P589" s="8">
        <v>1</v>
      </c>
    </row>
    <row r="590" spans="1:16" x14ac:dyDescent="0.15">
      <c r="A590" s="7" t="s">
        <v>846</v>
      </c>
      <c r="B590" s="9" t="str">
        <f>VLOOKUP(D590,[1]TASMaps!$H$4:$K$269,3,FALSE)</f>
        <v>TS07</v>
      </c>
      <c r="C590" s="9" t="str">
        <f>VLOOKUP(D590,[1]TASMaps!$H$4:$K$269,4,FALSE)</f>
        <v>Adamsons</v>
      </c>
      <c r="D590" s="9">
        <v>4818</v>
      </c>
      <c r="E590" s="9" t="s">
        <v>639</v>
      </c>
      <c r="F590" s="9" t="s">
        <v>116</v>
      </c>
      <c r="G590" s="9" t="s">
        <v>27</v>
      </c>
      <c r="H590" s="8" t="s">
        <v>20</v>
      </c>
      <c r="I590" s="10">
        <v>480540</v>
      </c>
      <c r="J590" s="10">
        <v>5187020</v>
      </c>
      <c r="K590" s="11">
        <v>-43.469479999999997</v>
      </c>
      <c r="L590" s="11">
        <v>146.75941</v>
      </c>
      <c r="N590" s="8" t="s">
        <v>37</v>
      </c>
      <c r="O590" s="8">
        <v>1</v>
      </c>
      <c r="P590" s="8">
        <v>1</v>
      </c>
    </row>
    <row r="591" spans="1:16" x14ac:dyDescent="0.15">
      <c r="A591" s="9" t="s">
        <v>847</v>
      </c>
      <c r="B591" s="9" t="str">
        <f>VLOOKUP(D591,[1]TASMaps!$H$4:$K$269,3,FALSE)</f>
        <v>TK05</v>
      </c>
      <c r="C591" s="9" t="str">
        <f>VLOOKUP(D591,[1]TASMaps!$H$4:$K$269,4,FALSE)</f>
        <v>Black Bluff</v>
      </c>
      <c r="D591" s="9">
        <v>3840</v>
      </c>
      <c r="E591" s="9" t="s">
        <v>848</v>
      </c>
      <c r="F591" s="9" t="s">
        <v>30</v>
      </c>
      <c r="G591" s="9" t="s">
        <v>117</v>
      </c>
      <c r="H591" s="8" t="s">
        <v>20</v>
      </c>
      <c r="I591" s="10">
        <v>388530</v>
      </c>
      <c r="J591" s="10">
        <v>5404680</v>
      </c>
      <c r="K591" s="11">
        <v>-41.501750000000001</v>
      </c>
      <c r="L591" s="11">
        <v>145.66441</v>
      </c>
      <c r="N591" s="8" t="s">
        <v>37</v>
      </c>
      <c r="P591" s="8">
        <v>1</v>
      </c>
    </row>
    <row r="592" spans="1:16" x14ac:dyDescent="0.15">
      <c r="A592" s="7" t="s">
        <v>849</v>
      </c>
      <c r="B592" s="9" t="str">
        <f>VLOOKUP(D592,[1]TASMaps!$H$4:$K$269,3,FALSE)</f>
        <v>TL06</v>
      </c>
      <c r="C592" s="9" t="str">
        <f>VLOOKUP(D592,[1]TASMaps!$H$4:$K$269,4,FALSE)</f>
        <v>Jerusalem</v>
      </c>
      <c r="D592" s="9">
        <v>4436</v>
      </c>
      <c r="E592" s="9" t="s">
        <v>581</v>
      </c>
      <c r="F592" s="9" t="s">
        <v>30</v>
      </c>
      <c r="G592" s="9" t="s">
        <v>33</v>
      </c>
      <c r="H592" s="8" t="s">
        <v>20</v>
      </c>
      <c r="I592" s="10">
        <v>441275</v>
      </c>
      <c r="J592" s="10">
        <v>5368080</v>
      </c>
      <c r="K592" s="11">
        <v>-41.83699</v>
      </c>
      <c r="L592" s="11">
        <v>146.29272</v>
      </c>
      <c r="N592" s="8" t="s">
        <v>37</v>
      </c>
      <c r="P592" s="8">
        <v>2</v>
      </c>
    </row>
    <row r="593" spans="1:16" x14ac:dyDescent="0.15">
      <c r="A593" s="9" t="s">
        <v>850</v>
      </c>
      <c r="B593" s="9" t="str">
        <f>VLOOKUP(D593,[1]TASMaps!$H$4:$K$269,3,FALSE)</f>
        <v>TR08</v>
      </c>
      <c r="C593" s="9" t="str">
        <f>VLOOKUP(D593,[1]TASMaps!$H$4:$K$269,4,FALSE)</f>
        <v>Channel</v>
      </c>
      <c r="D593" s="9">
        <v>5022</v>
      </c>
      <c r="E593" s="9" t="s">
        <v>586</v>
      </c>
      <c r="F593" s="9" t="s">
        <v>18</v>
      </c>
      <c r="G593" s="9" t="s">
        <v>27</v>
      </c>
      <c r="H593" s="8" t="s">
        <v>20</v>
      </c>
      <c r="I593" s="10">
        <v>513390</v>
      </c>
      <c r="J593" s="10">
        <v>5228290</v>
      </c>
      <c r="K593" s="11">
        <v>-43.097990000000003</v>
      </c>
      <c r="L593" s="11">
        <v>147.16453999999999</v>
      </c>
      <c r="N593" s="8" t="s">
        <v>37</v>
      </c>
      <c r="P593" s="8">
        <v>1</v>
      </c>
    </row>
    <row r="594" spans="1:16" x14ac:dyDescent="0.15">
      <c r="A594" s="7" t="s">
        <v>851</v>
      </c>
      <c r="B594" s="9" t="str">
        <f>VLOOKUP(D594,[1]TASMaps!$H$4:$K$269,3,FALSE)</f>
        <v>TP09</v>
      </c>
      <c r="C594" s="9" t="str">
        <f>VLOOKUP(D594,[1]TASMaps!$H$4:$K$269,4,FALSE)</f>
        <v>Prosser</v>
      </c>
      <c r="D594" s="9">
        <v>5427</v>
      </c>
      <c r="E594" s="9" t="s">
        <v>264</v>
      </c>
      <c r="F594" s="9" t="s">
        <v>30</v>
      </c>
      <c r="G594" s="9" t="s">
        <v>62</v>
      </c>
      <c r="H594" s="8" t="s">
        <v>20</v>
      </c>
      <c r="I594" s="10">
        <v>550770</v>
      </c>
      <c r="J594" s="10">
        <v>5276380</v>
      </c>
      <c r="K594" s="11">
        <v>-42.66337</v>
      </c>
      <c r="L594" s="11">
        <v>147.61950999999999</v>
      </c>
      <c r="N594" s="8" t="s">
        <v>37</v>
      </c>
      <c r="P594" s="8">
        <v>1</v>
      </c>
    </row>
    <row r="595" spans="1:16" x14ac:dyDescent="0.15">
      <c r="A595" s="7" t="s">
        <v>852</v>
      </c>
      <c r="B595" s="9" t="str">
        <f>VLOOKUP(D595,[1]TASMaps!$H$4:$K$269,3,FALSE)</f>
        <v>TM09</v>
      </c>
      <c r="C595" s="9" t="str">
        <f>VLOOKUP(D595,[1]TASMaps!$H$4:$K$269,4,FALSE)</f>
        <v>Lake Leake</v>
      </c>
      <c r="D595" s="9">
        <v>5634</v>
      </c>
      <c r="E595" s="9" t="s">
        <v>356</v>
      </c>
      <c r="F595" s="9" t="s">
        <v>30</v>
      </c>
      <c r="G595" s="9" t="s">
        <v>78</v>
      </c>
      <c r="H595" s="8" t="s">
        <v>20</v>
      </c>
      <c r="I595" s="10">
        <v>560200</v>
      </c>
      <c r="J595" s="10">
        <v>5341980</v>
      </c>
      <c r="K595" s="11">
        <v>-42.071939999999998</v>
      </c>
      <c r="L595" s="11">
        <v>147.72772000000001</v>
      </c>
      <c r="N595" s="8" t="s">
        <v>37</v>
      </c>
      <c r="O595" s="8">
        <v>1</v>
      </c>
      <c r="P595" s="8">
        <v>1</v>
      </c>
    </row>
    <row r="596" spans="1:16" x14ac:dyDescent="0.15">
      <c r="A596" s="7" t="s">
        <v>853</v>
      </c>
      <c r="B596" s="9" t="str">
        <f>VLOOKUP(D596,[1]TASMaps!$H$4:$K$269,3,FALSE)</f>
        <v>TL07</v>
      </c>
      <c r="C596" s="9" t="str">
        <f>VLOOKUP(D596,[1]TASMaps!$H$4:$K$269,4,FALSE)</f>
        <v>Breton</v>
      </c>
      <c r="D596" s="9">
        <v>4638</v>
      </c>
      <c r="E596" s="9" t="s">
        <v>73</v>
      </c>
      <c r="F596" s="9" t="s">
        <v>23</v>
      </c>
      <c r="G596" s="9" t="s">
        <v>33</v>
      </c>
      <c r="H596" s="8" t="s">
        <v>20</v>
      </c>
      <c r="I596" s="10">
        <v>461905</v>
      </c>
      <c r="J596" s="10">
        <v>5385630</v>
      </c>
      <c r="K596" s="11">
        <v>-41.680190000000003</v>
      </c>
      <c r="L596" s="11">
        <v>146.54230000000001</v>
      </c>
      <c r="M596" s="8" t="s">
        <v>21</v>
      </c>
      <c r="N596" s="8" t="s">
        <v>37</v>
      </c>
      <c r="O596" s="8">
        <v>1</v>
      </c>
      <c r="P596" s="8">
        <v>2</v>
      </c>
    </row>
    <row r="597" spans="1:16" x14ac:dyDescent="0.15">
      <c r="A597" s="7" t="s">
        <v>854</v>
      </c>
      <c r="B597" s="9" t="str">
        <f>VLOOKUP(D597,[1]TASMaps!$H$4:$K$269,3,FALSE)</f>
        <v>TL07</v>
      </c>
      <c r="C597" s="9" t="str">
        <f>VLOOKUP(D597,[1]TASMaps!$H$4:$K$269,4,FALSE)</f>
        <v>Breton</v>
      </c>
      <c r="D597" s="9">
        <v>4638</v>
      </c>
      <c r="E597" s="9" t="s">
        <v>73</v>
      </c>
      <c r="F597" s="9" t="s">
        <v>23</v>
      </c>
      <c r="G597" s="9" t="s">
        <v>33</v>
      </c>
      <c r="H597" s="8" t="s">
        <v>20</v>
      </c>
      <c r="I597" s="10">
        <v>461220</v>
      </c>
      <c r="J597" s="10">
        <v>5387525</v>
      </c>
      <c r="K597" s="11">
        <v>-41.663089999999997</v>
      </c>
      <c r="L597" s="11">
        <v>146.53419</v>
      </c>
      <c r="N597" s="8">
        <v>0</v>
      </c>
      <c r="P597" s="8">
        <v>1</v>
      </c>
    </row>
    <row r="598" spans="1:16" x14ac:dyDescent="0.15">
      <c r="A598" s="7" t="s">
        <v>855</v>
      </c>
      <c r="B598" s="9" t="str">
        <f>VLOOKUP(D598,[1]TASMaps!$H$4:$K$269,3,FALSE)</f>
        <v>TM06</v>
      </c>
      <c r="C598" s="9" t="str">
        <f>VLOOKUP(D598,[1]TASMaps!$H$4:$K$269,4,FALSE)</f>
        <v>St Clair</v>
      </c>
      <c r="D598" s="9">
        <v>4235</v>
      </c>
      <c r="E598" s="9" t="s">
        <v>32</v>
      </c>
      <c r="F598" s="9" t="s">
        <v>104</v>
      </c>
      <c r="G598" s="9" t="s">
        <v>36</v>
      </c>
      <c r="H598" s="8" t="s">
        <v>20</v>
      </c>
      <c r="I598" s="10">
        <v>432110</v>
      </c>
      <c r="J598" s="10">
        <v>5356420</v>
      </c>
      <c r="K598" s="11">
        <v>-41.941270000000003</v>
      </c>
      <c r="L598" s="11">
        <v>146.18100000000001</v>
      </c>
      <c r="M598" s="8" t="s">
        <v>21</v>
      </c>
      <c r="N598" s="8" t="s">
        <v>37</v>
      </c>
      <c r="O598" s="8">
        <v>2</v>
      </c>
      <c r="P598" s="8">
        <v>2</v>
      </c>
    </row>
    <row r="599" spans="1:16" x14ac:dyDescent="0.15">
      <c r="A599" s="7" t="s">
        <v>856</v>
      </c>
      <c r="B599" s="9" t="str">
        <f>VLOOKUP(D599,[1]TASMaps!$H$4:$K$269,3,FALSE)</f>
        <v>TL05</v>
      </c>
      <c r="C599" s="9" t="str">
        <f>VLOOKUP(D599,[1]TASMaps!$H$4:$K$269,4,FALSE)</f>
        <v>Murchison</v>
      </c>
      <c r="D599" s="9">
        <v>3836</v>
      </c>
      <c r="E599" s="9" t="s">
        <v>75</v>
      </c>
      <c r="F599" s="9" t="s">
        <v>23</v>
      </c>
      <c r="G599" s="9" t="s">
        <v>24</v>
      </c>
      <c r="H599" s="8" t="s">
        <v>20</v>
      </c>
      <c r="I599" s="10">
        <v>382400</v>
      </c>
      <c r="J599" s="10">
        <v>5368190</v>
      </c>
      <c r="K599" s="11">
        <v>-41.829450000000001</v>
      </c>
      <c r="L599" s="11">
        <v>145.5838</v>
      </c>
      <c r="N599" s="8" t="s">
        <v>37</v>
      </c>
      <c r="P599" s="8">
        <v>1</v>
      </c>
    </row>
    <row r="600" spans="1:16" x14ac:dyDescent="0.15">
      <c r="A600" s="7" t="s">
        <v>857</v>
      </c>
      <c r="B600" s="9" t="str">
        <f>VLOOKUP(D600,[1]TASMaps!$H$4:$K$269,3,FALSE)</f>
        <v>TQ06</v>
      </c>
      <c r="C600" s="9" t="str">
        <f>VLOOKUP(D600,[1]TASMaps!$H$4:$K$269,4,FALSE)</f>
        <v>Lake Pedder</v>
      </c>
      <c r="D600" s="9">
        <v>4426</v>
      </c>
      <c r="E600" s="9" t="s">
        <v>663</v>
      </c>
      <c r="F600" s="9" t="s">
        <v>30</v>
      </c>
      <c r="G600" s="9" t="s">
        <v>19</v>
      </c>
      <c r="H600" s="8" t="s">
        <v>20</v>
      </c>
      <c r="I600" s="10">
        <v>455540</v>
      </c>
      <c r="J600" s="10">
        <v>5263980</v>
      </c>
      <c r="K600" s="11">
        <v>-42.77543</v>
      </c>
      <c r="L600" s="11">
        <v>146.45651000000001</v>
      </c>
      <c r="M600" s="8" t="s">
        <v>21</v>
      </c>
      <c r="N600" s="8">
        <v>2</v>
      </c>
      <c r="O600" s="8">
        <v>2</v>
      </c>
      <c r="P600" s="8">
        <v>3</v>
      </c>
    </row>
    <row r="601" spans="1:16" x14ac:dyDescent="0.15">
      <c r="A601" s="9" t="s">
        <v>858</v>
      </c>
      <c r="B601" s="9" t="str">
        <f>VLOOKUP(D601,[1]TASMaps!$H$4:$K$269,3,FALSE)</f>
        <v>TN05</v>
      </c>
      <c r="C601" s="9" t="str">
        <f>VLOOKUP(D601,[1]TASMaps!$H$4:$K$269,4,FALSE)</f>
        <v>Frenchmans</v>
      </c>
      <c r="D601" s="9">
        <v>4032</v>
      </c>
      <c r="E601" s="9" t="s">
        <v>56</v>
      </c>
      <c r="F601" s="9" t="s">
        <v>30</v>
      </c>
      <c r="G601" s="9" t="s">
        <v>24</v>
      </c>
      <c r="H601" s="8" t="s">
        <v>20</v>
      </c>
      <c r="I601" s="10">
        <v>413610</v>
      </c>
      <c r="J601" s="10">
        <v>5325440</v>
      </c>
      <c r="K601" s="11">
        <v>-42.218440000000001</v>
      </c>
      <c r="L601" s="11">
        <v>145.95328000000001</v>
      </c>
      <c r="N601" s="8" t="s">
        <v>37</v>
      </c>
      <c r="P601" s="8">
        <v>1</v>
      </c>
    </row>
    <row r="602" spans="1:16" x14ac:dyDescent="0.15">
      <c r="A602" s="7" t="s">
        <v>859</v>
      </c>
      <c r="B602" s="9" t="str">
        <f>VLOOKUP(D602,[1]TASMaps!$H$4:$K$269,3,FALSE)</f>
        <v>TF10</v>
      </c>
      <c r="C602" s="9" t="str">
        <f>VLOOKUP(D602,[1]TASMaps!$H$4:$K$269,4,FALSE)</f>
        <v>Armstrong</v>
      </c>
      <c r="D602" s="9">
        <v>5853</v>
      </c>
      <c r="E602" s="9" t="s">
        <v>860</v>
      </c>
      <c r="F602" s="9" t="s">
        <v>30</v>
      </c>
      <c r="G602" s="9" t="s">
        <v>151</v>
      </c>
      <c r="H602" s="8" t="s">
        <v>20</v>
      </c>
      <c r="I602" s="10">
        <v>594850</v>
      </c>
      <c r="J602" s="10">
        <v>5530500</v>
      </c>
      <c r="K602" s="11">
        <v>-40.37068</v>
      </c>
      <c r="L602" s="11">
        <v>148.11723000000001</v>
      </c>
      <c r="N602" s="8" t="s">
        <v>37</v>
      </c>
      <c r="O602" s="8">
        <v>1</v>
      </c>
      <c r="P602" s="8">
        <v>2</v>
      </c>
    </row>
    <row r="603" spans="1:16" x14ac:dyDescent="0.15">
      <c r="A603" s="7" t="s">
        <v>861</v>
      </c>
      <c r="B603" s="9" t="str">
        <f>VLOOKUP(D603,[1]TASMaps!$H$4:$K$269,3,FALSE)</f>
        <v>TL05</v>
      </c>
      <c r="C603" s="9" t="str">
        <f>VLOOKUP(D603,[1]TASMaps!$H$4:$K$269,4,FALSE)</f>
        <v>Murchison</v>
      </c>
      <c r="D603" s="9">
        <v>3837</v>
      </c>
      <c r="E603" s="9" t="s">
        <v>194</v>
      </c>
      <c r="F603" s="9" t="s">
        <v>30</v>
      </c>
      <c r="G603" s="9" t="s">
        <v>24</v>
      </c>
      <c r="H603" s="8" t="s">
        <v>20</v>
      </c>
      <c r="I603" s="10">
        <v>385200</v>
      </c>
      <c r="J603" s="10">
        <v>5370500</v>
      </c>
      <c r="K603" s="11">
        <v>-41.809060000000002</v>
      </c>
      <c r="L603" s="11">
        <v>145.61796000000001</v>
      </c>
      <c r="M603" s="8" t="s">
        <v>21</v>
      </c>
      <c r="N603" s="8">
        <v>3</v>
      </c>
      <c r="O603" s="8">
        <v>3</v>
      </c>
      <c r="P603" s="8">
        <v>3</v>
      </c>
    </row>
    <row r="604" spans="1:16" x14ac:dyDescent="0.15">
      <c r="A604" s="7" t="s">
        <v>862</v>
      </c>
      <c r="B604" s="9" t="str">
        <f>VLOOKUP(D604,[1]TASMaps!$H$4:$K$269,3,FALSE)</f>
        <v>TQ06</v>
      </c>
      <c r="C604" s="9" t="str">
        <f>VLOOKUP(D604,[1]TASMaps!$H$4:$K$269,4,FALSE)</f>
        <v>Lake Pedder</v>
      </c>
      <c r="D604" s="9">
        <v>4224</v>
      </c>
      <c r="E604" s="9" t="s">
        <v>300</v>
      </c>
      <c r="F604" s="9" t="s">
        <v>30</v>
      </c>
      <c r="G604" s="9" t="s">
        <v>19</v>
      </c>
      <c r="H604" s="8" t="s">
        <v>20</v>
      </c>
      <c r="I604" s="10">
        <v>424620</v>
      </c>
      <c r="J604" s="10">
        <v>5243470</v>
      </c>
      <c r="K604" s="11">
        <v>-42.957680000000003</v>
      </c>
      <c r="L604" s="11">
        <v>146.07581999999999</v>
      </c>
      <c r="N604" s="8" t="s">
        <v>37</v>
      </c>
      <c r="O604" s="8">
        <v>2</v>
      </c>
      <c r="P604" s="8">
        <v>2</v>
      </c>
    </row>
    <row r="605" spans="1:16" x14ac:dyDescent="0.15">
      <c r="A605" s="9" t="s">
        <v>863</v>
      </c>
      <c r="B605" s="9" t="str">
        <f>VLOOKUP(D605,[1]TASMaps!$H$4:$K$269,3,FALSE)</f>
        <v>TP10</v>
      </c>
      <c r="C605" s="9" t="str">
        <f>VLOOKUP(D605,[1]TASMaps!$H$4:$K$269,4,FALSE)</f>
        <v>Maria</v>
      </c>
      <c r="D605" s="9">
        <v>5829</v>
      </c>
      <c r="E605" s="9" t="s">
        <v>864</v>
      </c>
      <c r="F605" s="9" t="s">
        <v>30</v>
      </c>
      <c r="G605" s="9" t="s">
        <v>62</v>
      </c>
      <c r="H605" s="8" t="s">
        <v>20</v>
      </c>
      <c r="I605" s="10">
        <v>580540</v>
      </c>
      <c r="J605" s="10">
        <v>5297860</v>
      </c>
      <c r="K605" s="11">
        <v>-42.467419999999997</v>
      </c>
      <c r="L605" s="11">
        <v>147.97970000000001</v>
      </c>
      <c r="N605" s="8" t="s">
        <v>37</v>
      </c>
      <c r="P605" s="8">
        <v>1</v>
      </c>
    </row>
    <row r="606" spans="1:16" x14ac:dyDescent="0.15">
      <c r="A606" s="9" t="s">
        <v>865</v>
      </c>
      <c r="B606" s="9" t="str">
        <f>VLOOKUP(D606,[1]TASMaps!$H$4:$K$269,3,FALSE)</f>
        <v>TS06</v>
      </c>
      <c r="C606" s="9" t="str">
        <f>VLOOKUP(D606,[1]TASMaps!$H$4:$K$269,4,FALSE)</f>
        <v>Bathurst</v>
      </c>
      <c r="D606" s="9">
        <v>4219</v>
      </c>
      <c r="E606" s="9" t="s">
        <v>400</v>
      </c>
      <c r="F606" s="9" t="s">
        <v>30</v>
      </c>
      <c r="G606" s="9" t="s">
        <v>27</v>
      </c>
      <c r="H606" s="8" t="s">
        <v>20</v>
      </c>
      <c r="I606" s="10">
        <v>420080</v>
      </c>
      <c r="J606" s="10">
        <v>5199460</v>
      </c>
      <c r="K606" s="11">
        <v>-43.353470000000002</v>
      </c>
      <c r="L606" s="11">
        <v>146.01382000000001</v>
      </c>
      <c r="N606" s="8" t="s">
        <v>37</v>
      </c>
      <c r="P606" s="8">
        <v>1</v>
      </c>
    </row>
    <row r="607" spans="1:16" x14ac:dyDescent="0.15">
      <c r="A607" s="7" t="s">
        <v>866</v>
      </c>
      <c r="B607" s="9" t="str">
        <f>VLOOKUP(D607,[1]TASMaps!$H$4:$K$269,3,FALSE)</f>
        <v>TP07</v>
      </c>
      <c r="C607" s="9" t="str">
        <f>VLOOKUP(D607,[1]TASMaps!$H$4:$K$269,4,FALSE)</f>
        <v>Meadowbank</v>
      </c>
      <c r="D607" s="9">
        <v>4627</v>
      </c>
      <c r="E607" s="9" t="s">
        <v>233</v>
      </c>
      <c r="F607" s="9" t="s">
        <v>23</v>
      </c>
      <c r="G607" s="9" t="s">
        <v>19</v>
      </c>
      <c r="H607" s="8" t="s">
        <v>20</v>
      </c>
      <c r="I607" s="10">
        <v>461055</v>
      </c>
      <c r="J607" s="10">
        <v>5276495</v>
      </c>
      <c r="K607" s="11">
        <v>-42.663029999999999</v>
      </c>
      <c r="L607" s="11">
        <v>146.52479</v>
      </c>
      <c r="N607" s="8" t="s">
        <v>37</v>
      </c>
      <c r="P607" s="8">
        <v>1</v>
      </c>
    </row>
    <row r="608" spans="1:16" x14ac:dyDescent="0.15">
      <c r="A608" s="7" t="s">
        <v>867</v>
      </c>
      <c r="B608" s="9" t="str">
        <f>VLOOKUP(D608,[1]TASMaps!$H$4:$K$269,3,FALSE)</f>
        <v>TQ06</v>
      </c>
      <c r="C608" s="9" t="str">
        <f>VLOOKUP(D608,[1]TASMaps!$H$4:$K$269,4,FALSE)</f>
        <v>Lake Pedder</v>
      </c>
      <c r="D608" s="9">
        <v>4426</v>
      </c>
      <c r="E608" s="9" t="s">
        <v>663</v>
      </c>
      <c r="F608" s="9" t="s">
        <v>104</v>
      </c>
      <c r="G608" s="9" t="s">
        <v>19</v>
      </c>
      <c r="H608" s="8" t="s">
        <v>20</v>
      </c>
      <c r="I608" s="10">
        <v>454960</v>
      </c>
      <c r="J608" s="10">
        <v>5268665</v>
      </c>
      <c r="K608" s="11">
        <v>-42.733199999999997</v>
      </c>
      <c r="L608" s="11">
        <v>146.44979000000001</v>
      </c>
      <c r="N608" s="8" t="s">
        <v>37</v>
      </c>
      <c r="O608" s="8">
        <v>1</v>
      </c>
      <c r="P608" s="8">
        <v>1</v>
      </c>
    </row>
    <row r="609" spans="1:16" x14ac:dyDescent="0.15">
      <c r="A609" s="7" t="s">
        <v>867</v>
      </c>
      <c r="B609" s="9" t="str">
        <f>VLOOKUP(D609,[1]TASMaps!$H$4:$K$269,3,FALSE)</f>
        <v>TR06</v>
      </c>
      <c r="C609" s="9" t="str">
        <f>VLOOKUP(D609,[1]TASMaps!$H$4:$K$269,4,FALSE)</f>
        <v>Western Arthur</v>
      </c>
      <c r="D609" s="9">
        <v>4421</v>
      </c>
      <c r="E609" s="9" t="s">
        <v>46</v>
      </c>
      <c r="F609" s="9" t="s">
        <v>104</v>
      </c>
      <c r="G609" s="9" t="s">
        <v>27</v>
      </c>
      <c r="H609" s="8" t="s">
        <v>20</v>
      </c>
      <c r="I609" s="10">
        <v>455390</v>
      </c>
      <c r="J609" s="10">
        <v>5213750</v>
      </c>
      <c r="K609" s="11">
        <v>-43.227719999999998</v>
      </c>
      <c r="L609" s="11">
        <v>146.45066</v>
      </c>
      <c r="M609" s="8" t="s">
        <v>21</v>
      </c>
      <c r="N609" s="8" t="s">
        <v>37</v>
      </c>
      <c r="O609" s="8">
        <v>2</v>
      </c>
      <c r="P609" s="8">
        <v>2</v>
      </c>
    </row>
    <row r="610" spans="1:16" x14ac:dyDescent="0.15">
      <c r="A610" s="7" t="s">
        <v>868</v>
      </c>
      <c r="B610" s="9" t="str">
        <f>VLOOKUP(D610,[1]TASMaps!$H$4:$K$269,3,FALSE)</f>
        <v>TL06</v>
      </c>
      <c r="C610" s="9" t="str">
        <f>VLOOKUP(D610,[1]TASMaps!$H$4:$K$269,4,FALSE)</f>
        <v>Jerusalem</v>
      </c>
      <c r="D610" s="9">
        <v>4438</v>
      </c>
      <c r="E610" s="9" t="s">
        <v>124</v>
      </c>
      <c r="F610" s="9" t="s">
        <v>30</v>
      </c>
      <c r="G610" s="9" t="s">
        <v>33</v>
      </c>
      <c r="H610" s="8" t="s">
        <v>20</v>
      </c>
      <c r="I610" s="10">
        <v>453380</v>
      </c>
      <c r="J610" s="10">
        <v>5387110</v>
      </c>
      <c r="K610" s="11">
        <v>-41.666400000000003</v>
      </c>
      <c r="L610" s="11">
        <v>146.43998999999999</v>
      </c>
      <c r="N610" s="8" t="s">
        <v>37</v>
      </c>
      <c r="P610" s="8">
        <v>1</v>
      </c>
    </row>
    <row r="611" spans="1:16" x14ac:dyDescent="0.15">
      <c r="A611" s="7" t="s">
        <v>869</v>
      </c>
      <c r="B611" s="9" t="str">
        <f>VLOOKUP(D611,[1]TASMaps!$H$4:$K$269,3,FALSE)</f>
        <v>TM05</v>
      </c>
      <c r="C611" s="9" t="str">
        <f>VLOOKUP(D611,[1]TASMaps!$H$4:$K$269,4,FALSE)</f>
        <v>Eldon</v>
      </c>
      <c r="D611" s="9">
        <v>4035</v>
      </c>
      <c r="E611" s="9" t="s">
        <v>291</v>
      </c>
      <c r="F611" s="9" t="s">
        <v>30</v>
      </c>
      <c r="G611" s="9" t="s">
        <v>24</v>
      </c>
      <c r="H611" s="8" t="s">
        <v>20</v>
      </c>
      <c r="I611" s="10">
        <v>411780</v>
      </c>
      <c r="J611" s="10">
        <v>5358460</v>
      </c>
      <c r="K611" s="11">
        <v>-41.92089</v>
      </c>
      <c r="L611" s="11">
        <v>145.93609000000001</v>
      </c>
      <c r="M611" s="8" t="s">
        <v>21</v>
      </c>
      <c r="N611" s="8">
        <v>4</v>
      </c>
      <c r="O611" s="8">
        <v>4</v>
      </c>
      <c r="P611" s="8">
        <v>4</v>
      </c>
    </row>
    <row r="612" spans="1:16" x14ac:dyDescent="0.15">
      <c r="A612" s="7" t="s">
        <v>870</v>
      </c>
      <c r="B612" s="9" t="str">
        <f>VLOOKUP(D612,[1]TASMaps!$H$4:$K$269,3,FALSE)</f>
        <v>TL06</v>
      </c>
      <c r="C612" s="9" t="str">
        <f>VLOOKUP(D612,[1]TASMaps!$H$4:$K$269,4,FALSE)</f>
        <v>Jerusalem</v>
      </c>
      <c r="D612" s="9">
        <v>4236</v>
      </c>
      <c r="E612" s="9" t="s">
        <v>177</v>
      </c>
      <c r="F612" s="9" t="s">
        <v>871</v>
      </c>
      <c r="G612" s="9" t="s">
        <v>33</v>
      </c>
      <c r="H612" s="8" t="s">
        <v>20</v>
      </c>
      <c r="I612" s="10">
        <v>433020</v>
      </c>
      <c r="J612" s="10">
        <v>5367020</v>
      </c>
      <c r="K612" s="11">
        <v>-41.845889999999997</v>
      </c>
      <c r="L612" s="11">
        <v>146.19318000000001</v>
      </c>
      <c r="M612" s="8" t="s">
        <v>21</v>
      </c>
      <c r="N612" s="8" t="s">
        <v>37</v>
      </c>
      <c r="P612" s="8">
        <v>1</v>
      </c>
    </row>
    <row r="613" spans="1:16" x14ac:dyDescent="0.15">
      <c r="A613" s="7" t="s">
        <v>872</v>
      </c>
      <c r="B613" s="9" t="str">
        <f>VLOOKUP(D613,[1]TASMaps!$H$4:$K$269,3,FALSE)</f>
        <v>TQ07</v>
      </c>
      <c r="C613" s="9" t="str">
        <f>VLOOKUP(D613,[1]TASMaps!$H$4:$K$269,4,FALSE)</f>
        <v>Snowy Range</v>
      </c>
      <c r="D613" s="9">
        <v>4624</v>
      </c>
      <c r="E613" s="9" t="s">
        <v>568</v>
      </c>
      <c r="F613" s="9" t="s">
        <v>23</v>
      </c>
      <c r="G613" s="9" t="s">
        <v>19</v>
      </c>
      <c r="H613" s="8" t="s">
        <v>20</v>
      </c>
      <c r="I613" s="10">
        <v>470590</v>
      </c>
      <c r="J613" s="10">
        <v>5248020</v>
      </c>
      <c r="K613" s="11">
        <v>-42.919870000000003</v>
      </c>
      <c r="L613" s="11">
        <v>146.63964999999999</v>
      </c>
      <c r="M613" s="8" t="s">
        <v>21</v>
      </c>
      <c r="N613" s="8">
        <v>2</v>
      </c>
      <c r="O613" s="8">
        <v>2</v>
      </c>
      <c r="P613" s="8">
        <v>3</v>
      </c>
    </row>
    <row r="614" spans="1:16" x14ac:dyDescent="0.15">
      <c r="A614" s="7" t="s">
        <v>873</v>
      </c>
      <c r="B614" s="9" t="str">
        <f>VLOOKUP(D614,[1]TASMaps!$H$4:$K$269,3,FALSE)</f>
        <v>TS06</v>
      </c>
      <c r="C614" s="9" t="str">
        <f>VLOOKUP(D614,[1]TASMaps!$H$4:$K$269,4,FALSE)</f>
        <v>Bathurst</v>
      </c>
      <c r="D614" s="9">
        <v>4218</v>
      </c>
      <c r="E614" s="9" t="s">
        <v>237</v>
      </c>
      <c r="F614" s="9" t="s">
        <v>104</v>
      </c>
      <c r="G614" s="9" t="s">
        <v>27</v>
      </c>
      <c r="H614" s="8" t="s">
        <v>20</v>
      </c>
      <c r="I614" s="10">
        <v>434780</v>
      </c>
      <c r="J614" s="10">
        <v>5183650</v>
      </c>
      <c r="K614" s="11">
        <v>-43.497230000000002</v>
      </c>
      <c r="L614" s="11">
        <v>146.19329999999999</v>
      </c>
      <c r="N614" s="8" t="s">
        <v>37</v>
      </c>
      <c r="O614" s="8">
        <v>2</v>
      </c>
      <c r="P614" s="8">
        <v>2</v>
      </c>
    </row>
    <row r="615" spans="1:16" x14ac:dyDescent="0.15">
      <c r="A615" s="7" t="s">
        <v>874</v>
      </c>
      <c r="B615" s="9" t="str">
        <f>VLOOKUP(D615,[1]TASMaps!$H$4:$K$269,3,FALSE)</f>
        <v>TM05</v>
      </c>
      <c r="C615" s="9" t="str">
        <f>VLOOKUP(D615,[1]TASMaps!$H$4:$K$269,4,FALSE)</f>
        <v>Eldon</v>
      </c>
      <c r="D615" s="9">
        <v>3835</v>
      </c>
      <c r="E615" s="9" t="s">
        <v>126</v>
      </c>
      <c r="F615" s="9" t="s">
        <v>23</v>
      </c>
      <c r="G615" s="9" t="s">
        <v>24</v>
      </c>
      <c r="H615" s="8" t="s">
        <v>20</v>
      </c>
      <c r="I615" s="10">
        <v>384010</v>
      </c>
      <c r="J615" s="10">
        <v>5359840</v>
      </c>
      <c r="K615" s="11">
        <v>-41.904870000000003</v>
      </c>
      <c r="L615" s="11">
        <v>145.60155</v>
      </c>
      <c r="N615" s="8" t="s">
        <v>37</v>
      </c>
      <c r="P615" s="8">
        <v>1</v>
      </c>
    </row>
    <row r="616" spans="1:16" x14ac:dyDescent="0.15">
      <c r="A616" s="7" t="s">
        <v>875</v>
      </c>
      <c r="B616" s="9" t="str">
        <f>VLOOKUP(D616,[1]TASMaps!$H$4:$K$269,3,FALSE)</f>
        <v>TK10</v>
      </c>
      <c r="C616" s="9" t="str">
        <f>VLOOKUP(D616,[1]TASMaps!$H$4:$K$269,4,FALSE)</f>
        <v>Nicholas</v>
      </c>
      <c r="D616" s="9">
        <v>5840</v>
      </c>
      <c r="E616" s="9" t="s">
        <v>659</v>
      </c>
      <c r="F616" s="9" t="s">
        <v>30</v>
      </c>
      <c r="G616" s="9" t="s">
        <v>44</v>
      </c>
      <c r="H616" s="8" t="s">
        <v>20</v>
      </c>
      <c r="I616" s="10">
        <v>591290</v>
      </c>
      <c r="J616" s="10">
        <v>5400415</v>
      </c>
      <c r="K616" s="11">
        <v>-41.542720000000003</v>
      </c>
      <c r="L616" s="11">
        <v>148.09449000000001</v>
      </c>
      <c r="N616" s="8" t="s">
        <v>37</v>
      </c>
      <c r="O616" s="8">
        <v>1</v>
      </c>
      <c r="P616" s="8">
        <v>1</v>
      </c>
    </row>
    <row r="617" spans="1:16" x14ac:dyDescent="0.15">
      <c r="A617" s="7" t="s">
        <v>876</v>
      </c>
      <c r="B617" s="9" t="str">
        <f>VLOOKUP(D617,[1]TASMaps!$H$4:$K$269,3,FALSE)</f>
        <v>TP05</v>
      </c>
      <c r="C617" s="9" t="str">
        <f>VLOOKUP(D617,[1]TASMaps!$H$4:$K$269,4,FALSE)</f>
        <v>Princess Range</v>
      </c>
      <c r="D617" s="9">
        <v>4027</v>
      </c>
      <c r="E617" s="9" t="s">
        <v>877</v>
      </c>
      <c r="F617" s="9" t="s">
        <v>104</v>
      </c>
      <c r="G617" s="9" t="s">
        <v>24</v>
      </c>
      <c r="H617" s="8" t="s">
        <v>20</v>
      </c>
      <c r="I617" s="10">
        <v>404700</v>
      </c>
      <c r="J617" s="10">
        <v>5274600</v>
      </c>
      <c r="K617" s="11">
        <v>-42.675170000000001</v>
      </c>
      <c r="L617" s="11">
        <v>145.83690999999999</v>
      </c>
      <c r="N617" s="8" t="s">
        <v>37</v>
      </c>
      <c r="P617" s="8">
        <v>1</v>
      </c>
    </row>
    <row r="618" spans="1:16" x14ac:dyDescent="0.15">
      <c r="A618" s="9" t="s">
        <v>878</v>
      </c>
      <c r="B618" s="9" t="str">
        <f>VLOOKUP(D618,[1]TASMaps!$H$4:$K$269,3,FALSE)</f>
        <v>TS06</v>
      </c>
      <c r="C618" s="9" t="str">
        <f>VLOOKUP(D618,[1]TASMaps!$H$4:$K$269,4,FALSE)</f>
        <v>Bathurst</v>
      </c>
      <c r="D618" s="9">
        <v>4219</v>
      </c>
      <c r="E618" s="9" t="s">
        <v>400</v>
      </c>
      <c r="F618" s="9" t="s">
        <v>30</v>
      </c>
      <c r="G618" s="9" t="s">
        <v>27</v>
      </c>
      <c r="H618" s="8" t="s">
        <v>20</v>
      </c>
      <c r="I618" s="10">
        <v>421280</v>
      </c>
      <c r="J618" s="10">
        <v>5199030</v>
      </c>
      <c r="K618" s="11">
        <v>-43.357460000000003</v>
      </c>
      <c r="L618" s="11">
        <v>146.02856</v>
      </c>
      <c r="N618" s="8" t="s">
        <v>37</v>
      </c>
      <c r="P618" s="8">
        <v>1</v>
      </c>
    </row>
    <row r="619" spans="1:16" x14ac:dyDescent="0.15">
      <c r="A619" s="7" t="s">
        <v>879</v>
      </c>
      <c r="B619" s="9" t="str">
        <f>VLOOKUP(D619,[1]TASMaps!$H$4:$K$269,3,FALSE)</f>
        <v>TJ10</v>
      </c>
      <c r="C619" s="9" t="str">
        <f>VLOOKUP(D619,[1]TASMaps!$H$4:$K$269,4,FALSE)</f>
        <v>Bay of Fires</v>
      </c>
      <c r="D619" s="9">
        <v>5842</v>
      </c>
      <c r="E619" s="9" t="s">
        <v>880</v>
      </c>
      <c r="F619" s="9" t="s">
        <v>30</v>
      </c>
      <c r="G619" s="9" t="s">
        <v>44</v>
      </c>
      <c r="H619" s="8" t="s">
        <v>20</v>
      </c>
      <c r="I619" s="10">
        <v>592130</v>
      </c>
      <c r="J619" s="10">
        <v>5428270</v>
      </c>
      <c r="K619" s="11">
        <v>-41.291759999999996</v>
      </c>
      <c r="L619" s="11">
        <v>148.10032000000001</v>
      </c>
      <c r="N619" s="8" t="s">
        <v>37</v>
      </c>
      <c r="P619" s="8">
        <v>1</v>
      </c>
    </row>
    <row r="620" spans="1:16" x14ac:dyDescent="0.15">
      <c r="A620" s="7" t="s">
        <v>881</v>
      </c>
      <c r="B620" s="9" t="str">
        <f>VLOOKUP(D620,[1]TASMaps!$H$4:$K$269,3,FALSE)</f>
        <v>TK03</v>
      </c>
      <c r="C620" s="9" t="str">
        <f>VLOOKUP(D620,[1]TASMaps!$H$4:$K$269,4,FALSE)</f>
        <v>Norfolk Range</v>
      </c>
      <c r="D620" s="9">
        <v>3240</v>
      </c>
      <c r="E620" s="9" t="s">
        <v>477</v>
      </c>
      <c r="F620" s="9" t="s">
        <v>30</v>
      </c>
      <c r="G620" s="9" t="s">
        <v>107</v>
      </c>
      <c r="H620" s="8" t="s">
        <v>20</v>
      </c>
      <c r="I620" s="10">
        <v>329760</v>
      </c>
      <c r="J620" s="10">
        <v>5409860</v>
      </c>
      <c r="K620" s="11">
        <v>-41.444780000000002</v>
      </c>
      <c r="L620" s="11">
        <v>144.96207000000001</v>
      </c>
      <c r="N620" s="8" t="s">
        <v>37</v>
      </c>
      <c r="O620" s="8">
        <v>2</v>
      </c>
      <c r="P620" s="8">
        <v>2</v>
      </c>
    </row>
    <row r="621" spans="1:16" x14ac:dyDescent="0.15">
      <c r="A621" s="7" t="s">
        <v>882</v>
      </c>
      <c r="B621" s="9" t="str">
        <f>VLOOKUP(D621,[1]TASMaps!$H$4:$K$269,3,FALSE)</f>
        <v>TN06</v>
      </c>
      <c r="C621" s="9" t="str">
        <f>VLOOKUP(D621,[1]TASMaps!$H$4:$K$269,4,FALSE)</f>
        <v>King William</v>
      </c>
      <c r="D621" s="9">
        <v>4232</v>
      </c>
      <c r="E621" s="9" t="s">
        <v>80</v>
      </c>
      <c r="F621" s="9" t="s">
        <v>30</v>
      </c>
      <c r="G621" s="9" t="s">
        <v>36</v>
      </c>
      <c r="H621" s="8" t="s">
        <v>20</v>
      </c>
      <c r="I621" s="10">
        <v>429440</v>
      </c>
      <c r="J621" s="10">
        <v>5322920</v>
      </c>
      <c r="K621" s="11">
        <v>-42.242719999999998</v>
      </c>
      <c r="L621" s="11">
        <v>146.14474999999999</v>
      </c>
      <c r="N621" s="8" t="s">
        <v>37</v>
      </c>
      <c r="P621" s="8">
        <v>1</v>
      </c>
    </row>
    <row r="622" spans="1:16" x14ac:dyDescent="0.15">
      <c r="A622" s="7" t="s">
        <v>883</v>
      </c>
      <c r="B622" s="9" t="str">
        <f>VLOOKUP(D622,[1]TASMaps!$H$4:$K$269,3,FALSE)</f>
        <v>TR06</v>
      </c>
      <c r="C622" s="9" t="str">
        <f>VLOOKUP(D622,[1]TASMaps!$H$4:$K$269,4,FALSE)</f>
        <v>Western Arthur</v>
      </c>
      <c r="D622" s="9">
        <v>4221</v>
      </c>
      <c r="E622" s="9" t="s">
        <v>226</v>
      </c>
      <c r="F622" s="9" t="s">
        <v>30</v>
      </c>
      <c r="G622" s="9" t="s">
        <v>27</v>
      </c>
      <c r="H622" s="8" t="s">
        <v>20</v>
      </c>
      <c r="I622" s="10">
        <v>439920</v>
      </c>
      <c r="J622" s="10">
        <v>5210410</v>
      </c>
      <c r="K622" s="11">
        <v>-43.256720000000001</v>
      </c>
      <c r="L622" s="11">
        <v>146.25980999999999</v>
      </c>
      <c r="N622" s="8">
        <v>3</v>
      </c>
      <c r="O622" s="8">
        <v>3</v>
      </c>
      <c r="P622" s="8">
        <v>3</v>
      </c>
    </row>
    <row r="623" spans="1:16" x14ac:dyDescent="0.15">
      <c r="A623" s="7" t="s">
        <v>884</v>
      </c>
      <c r="B623" s="9" t="str">
        <f>VLOOKUP(D623,[1]TASMaps!$H$4:$K$269,3,FALSE)</f>
        <v>TM05</v>
      </c>
      <c r="C623" s="9" t="str">
        <f>VLOOKUP(D623,[1]TASMaps!$H$4:$K$269,4,FALSE)</f>
        <v>Eldon</v>
      </c>
      <c r="D623" s="9">
        <v>3834</v>
      </c>
      <c r="E623" s="9" t="s">
        <v>746</v>
      </c>
      <c r="F623" s="9" t="s">
        <v>23</v>
      </c>
      <c r="G623" s="9" t="s">
        <v>24</v>
      </c>
      <c r="H623" s="8" t="s">
        <v>20</v>
      </c>
      <c r="I623" s="10">
        <v>386520</v>
      </c>
      <c r="J623" s="10">
        <v>5340200</v>
      </c>
      <c r="K623" s="11">
        <v>-42.082070000000002</v>
      </c>
      <c r="L623" s="11">
        <v>145.62800999999999</v>
      </c>
      <c r="N623" s="8" t="s">
        <v>37</v>
      </c>
      <c r="P623" s="8">
        <v>1</v>
      </c>
    </row>
    <row r="624" spans="1:16" x14ac:dyDescent="0.15">
      <c r="A624" s="7" t="s">
        <v>885</v>
      </c>
      <c r="B624" s="9" t="str">
        <f>VLOOKUP(D624,[1]TASMaps!$H$4:$K$269,3,FALSE)</f>
        <v>TP06</v>
      </c>
      <c r="C624" s="9" t="str">
        <f>VLOOKUP(D624,[1]TASMaps!$H$4:$K$269,4,FALSE)</f>
        <v>Denison Range</v>
      </c>
      <c r="D624" s="9">
        <v>4229</v>
      </c>
      <c r="E624" s="9" t="s">
        <v>128</v>
      </c>
      <c r="F624" s="9" t="s">
        <v>30</v>
      </c>
      <c r="G624" s="9" t="s">
        <v>36</v>
      </c>
      <c r="H624" s="8" t="s">
        <v>20</v>
      </c>
      <c r="I624" s="10">
        <v>436970</v>
      </c>
      <c r="J624" s="10">
        <v>5290900</v>
      </c>
      <c r="K624" s="11">
        <v>-42.531709999999997</v>
      </c>
      <c r="L624" s="11">
        <v>146.23250999999999</v>
      </c>
      <c r="N624" s="8" t="s">
        <v>37</v>
      </c>
      <c r="O624" s="8">
        <v>2</v>
      </c>
      <c r="P624" s="8">
        <v>2</v>
      </c>
    </row>
    <row r="625" spans="1:16" x14ac:dyDescent="0.15">
      <c r="A625" s="9" t="s">
        <v>886</v>
      </c>
      <c r="B625" s="9" t="str">
        <f>VLOOKUP(D625,[1]TASMaps!$H$4:$K$269,3,FALSE)</f>
        <v>TP06</v>
      </c>
      <c r="C625" s="9" t="str">
        <f>VLOOKUP(D625,[1]TASMaps!$H$4:$K$269,4,FALSE)</f>
        <v>Denison Range</v>
      </c>
      <c r="D625" s="9">
        <v>4427</v>
      </c>
      <c r="E625" s="9" t="s">
        <v>327</v>
      </c>
      <c r="F625" s="9" t="s">
        <v>23</v>
      </c>
      <c r="G625" s="9" t="s">
        <v>19</v>
      </c>
      <c r="H625" s="8" t="s">
        <v>20</v>
      </c>
      <c r="I625" s="10">
        <v>446970</v>
      </c>
      <c r="J625" s="10">
        <v>5275200</v>
      </c>
      <c r="K625" s="11">
        <v>-42.673850000000002</v>
      </c>
      <c r="L625" s="11">
        <v>146.35281000000001</v>
      </c>
      <c r="N625" s="8" t="s">
        <v>37</v>
      </c>
      <c r="P625" s="8">
        <v>1</v>
      </c>
    </row>
    <row r="626" spans="1:16" s="7" customFormat="1" x14ac:dyDescent="0.15">
      <c r="A626" s="7" t="s">
        <v>887</v>
      </c>
      <c r="B626" s="9" t="str">
        <f>VLOOKUP(D626,[1]TASMaps!$H$4:$K$269,3,FALSE)</f>
        <v>TM07</v>
      </c>
      <c r="C626" s="9" t="str">
        <f>VLOOKUP(D626,[1]TASMaps!$H$4:$K$269,4,FALSE)</f>
        <v>Penstock</v>
      </c>
      <c r="D626" s="9">
        <v>4834</v>
      </c>
      <c r="E626" s="9" t="s">
        <v>184</v>
      </c>
      <c r="F626" s="9" t="s">
        <v>18</v>
      </c>
      <c r="G626" s="9" t="s">
        <v>36</v>
      </c>
      <c r="H626" s="8" t="s">
        <v>20</v>
      </c>
      <c r="I626" s="10">
        <v>493720</v>
      </c>
      <c r="J626" s="10">
        <v>5343760</v>
      </c>
      <c r="K626" s="11">
        <v>-42.058190000000003</v>
      </c>
      <c r="L626" s="11">
        <v>146.92410000000001</v>
      </c>
      <c r="M626" s="8"/>
      <c r="N626" s="8" t="s">
        <v>37</v>
      </c>
      <c r="O626" s="8"/>
      <c r="P626" s="8">
        <v>1</v>
      </c>
    </row>
    <row r="627" spans="1:16" s="7" customFormat="1" x14ac:dyDescent="0.15">
      <c r="A627" s="9" t="s">
        <v>888</v>
      </c>
      <c r="B627" s="9" t="str">
        <f>VLOOKUP(D627,[1]TASMaps!$H$4:$K$269,3,FALSE)</f>
        <v>TN08</v>
      </c>
      <c r="C627" s="9" t="str">
        <f>VLOOKUP(D627,[1]TASMaps!$H$4:$K$269,4,FALSE)</f>
        <v>Tiberias</v>
      </c>
      <c r="D627" s="9">
        <v>5230</v>
      </c>
      <c r="E627" s="9" t="s">
        <v>67</v>
      </c>
      <c r="F627" s="9" t="s">
        <v>18</v>
      </c>
      <c r="G627" s="9" t="s">
        <v>59</v>
      </c>
      <c r="H627" s="8" t="s">
        <v>20</v>
      </c>
      <c r="I627" s="10">
        <v>522220</v>
      </c>
      <c r="J627" s="10">
        <v>5309470</v>
      </c>
      <c r="K627" s="11">
        <v>-42.366729999999997</v>
      </c>
      <c r="L627" s="11">
        <v>147.26985999999999</v>
      </c>
      <c r="M627" s="8"/>
      <c r="N627" s="8" t="s">
        <v>37</v>
      </c>
      <c r="O627" s="8"/>
      <c r="P627" s="8">
        <v>1</v>
      </c>
    </row>
    <row r="628" spans="1:16" s="7" customFormat="1" x14ac:dyDescent="0.15">
      <c r="A628" s="9" t="s">
        <v>889</v>
      </c>
      <c r="B628" s="9" t="str">
        <f>VLOOKUP(D628,[1]TASMaps!$H$4:$K$269,3,FALSE)</f>
        <v>TN05</v>
      </c>
      <c r="C628" s="9" t="str">
        <f>VLOOKUP(D628,[1]TASMaps!$H$4:$K$269,4,FALSE)</f>
        <v>Frenchmans</v>
      </c>
      <c r="D628" s="9">
        <v>4030</v>
      </c>
      <c r="E628" s="9" t="s">
        <v>368</v>
      </c>
      <c r="F628" s="9" t="s">
        <v>30</v>
      </c>
      <c r="G628" s="9" t="s">
        <v>24</v>
      </c>
      <c r="H628" s="8" t="s">
        <v>20</v>
      </c>
      <c r="I628" s="10">
        <v>412270</v>
      </c>
      <c r="J628" s="10">
        <v>5305360</v>
      </c>
      <c r="K628" s="11">
        <v>-42.399099999999997</v>
      </c>
      <c r="L628" s="11">
        <v>145.934</v>
      </c>
      <c r="M628" s="8"/>
      <c r="N628" s="8" t="s">
        <v>37</v>
      </c>
      <c r="O628" s="8"/>
      <c r="P628" s="8">
        <v>1</v>
      </c>
    </row>
    <row r="629" spans="1:16" s="7" customFormat="1" x14ac:dyDescent="0.15">
      <c r="A629" s="7" t="s">
        <v>890</v>
      </c>
      <c r="B629" s="9" t="str">
        <f>VLOOKUP(D629,[1]TASMaps!$H$4:$K$269,3,FALSE)</f>
        <v>TN05</v>
      </c>
      <c r="C629" s="9" t="str">
        <f>VLOOKUP(D629,[1]TASMaps!$H$4:$K$269,4,FALSE)</f>
        <v>Frenchmans</v>
      </c>
      <c r="D629" s="9">
        <v>4030</v>
      </c>
      <c r="E629" s="9" t="s">
        <v>368</v>
      </c>
      <c r="F629" s="9" t="s">
        <v>18</v>
      </c>
      <c r="G629" s="9" t="s">
        <v>24</v>
      </c>
      <c r="H629" s="8" t="s">
        <v>20</v>
      </c>
      <c r="I629" s="10">
        <v>405640</v>
      </c>
      <c r="J629" s="10">
        <v>5308020</v>
      </c>
      <c r="K629" s="11">
        <v>-42.374369999999999</v>
      </c>
      <c r="L629" s="11">
        <v>145.85389000000001</v>
      </c>
      <c r="M629" s="8"/>
      <c r="N629" s="8" t="s">
        <v>37</v>
      </c>
      <c r="O629" s="8"/>
      <c r="P629" s="8">
        <v>1</v>
      </c>
    </row>
    <row r="630" spans="1:16" x14ac:dyDescent="0.15">
      <c r="A630" s="9" t="s">
        <v>891</v>
      </c>
      <c r="B630" s="9" t="str">
        <f>VLOOKUP(D630,[1]TASMaps!$H$4:$K$269,3,FALSE)</f>
        <v>TL08</v>
      </c>
      <c r="C630" s="9" t="str">
        <f>VLOOKUP(D630,[1]TASMaps!$H$4:$K$269,4,FALSE)</f>
        <v>Hummocky</v>
      </c>
      <c r="D630" s="9">
        <v>5036</v>
      </c>
      <c r="E630" s="9" t="s">
        <v>711</v>
      </c>
      <c r="F630" s="9" t="s">
        <v>23</v>
      </c>
      <c r="G630" s="9" t="s">
        <v>78</v>
      </c>
      <c r="H630" s="8" t="s">
        <v>20</v>
      </c>
      <c r="I630" s="10">
        <v>507800</v>
      </c>
      <c r="J630" s="10">
        <v>5365780</v>
      </c>
      <c r="K630" s="11">
        <v>-41.859850000000002</v>
      </c>
      <c r="L630" s="11">
        <v>147.09397999999999</v>
      </c>
      <c r="N630" s="8" t="s">
        <v>37</v>
      </c>
      <c r="P630" s="8">
        <v>1</v>
      </c>
    </row>
    <row r="631" spans="1:16" x14ac:dyDescent="0.15">
      <c r="A631" s="7" t="s">
        <v>892</v>
      </c>
      <c r="B631" s="9" t="str">
        <f>VLOOKUP(D631,[1]TASMaps!$H$4:$K$269,3,FALSE)</f>
        <v>TL05</v>
      </c>
      <c r="C631" s="9" t="str">
        <f>VLOOKUP(D631,[1]TASMaps!$H$4:$K$269,4,FALSE)</f>
        <v>Murchison</v>
      </c>
      <c r="D631" s="9">
        <v>4037</v>
      </c>
      <c r="E631" s="9" t="s">
        <v>607</v>
      </c>
      <c r="F631" s="9" t="s">
        <v>30</v>
      </c>
      <c r="G631" s="9" t="s">
        <v>33</v>
      </c>
      <c r="H631" s="8" t="s">
        <v>20</v>
      </c>
      <c r="I631" s="10">
        <v>420005</v>
      </c>
      <c r="J631" s="10">
        <v>5372030</v>
      </c>
      <c r="K631" s="11">
        <v>-41.79956</v>
      </c>
      <c r="L631" s="11">
        <v>146.03710000000001</v>
      </c>
      <c r="M631" s="8" t="s">
        <v>21</v>
      </c>
      <c r="N631" s="8">
        <v>3</v>
      </c>
      <c r="O631" s="8">
        <v>3</v>
      </c>
      <c r="P631" s="8">
        <v>3</v>
      </c>
    </row>
    <row r="632" spans="1:16" x14ac:dyDescent="0.15">
      <c r="A632" s="7" t="s">
        <v>893</v>
      </c>
      <c r="B632" s="9" t="str">
        <f>VLOOKUP(D632,[1]TASMaps!$H$4:$K$269,3,FALSE)</f>
        <v>TM06</v>
      </c>
      <c r="C632" s="9" t="str">
        <f>VLOOKUP(D632,[1]TASMaps!$H$4:$K$269,4,FALSE)</f>
        <v>St Clair</v>
      </c>
      <c r="D632" s="9">
        <v>4235</v>
      </c>
      <c r="E632" s="9" t="s">
        <v>32</v>
      </c>
      <c r="F632" s="9" t="s">
        <v>30</v>
      </c>
      <c r="G632" s="9" t="s">
        <v>36</v>
      </c>
      <c r="H632" s="8" t="s">
        <v>20</v>
      </c>
      <c r="I632" s="10">
        <v>440050</v>
      </c>
      <c r="J632" s="10">
        <v>5354870</v>
      </c>
      <c r="K632" s="11">
        <v>-41.955869999999997</v>
      </c>
      <c r="L632" s="11">
        <v>146.27662000000001</v>
      </c>
      <c r="N632" s="8" t="s">
        <v>37</v>
      </c>
      <c r="O632" s="8">
        <v>1</v>
      </c>
      <c r="P632" s="8">
        <v>1</v>
      </c>
    </row>
    <row r="633" spans="1:16" s="7" customFormat="1" x14ac:dyDescent="0.15">
      <c r="A633" s="7" t="s">
        <v>894</v>
      </c>
      <c r="B633" s="9" t="str">
        <f>VLOOKUP(D633,[1]TASMaps!$H$4:$K$269,3,FALSE)</f>
        <v>TN06</v>
      </c>
      <c r="C633" s="9" t="str">
        <f>VLOOKUP(D633,[1]TASMaps!$H$4:$K$269,4,FALSE)</f>
        <v>King William</v>
      </c>
      <c r="D633" s="9">
        <v>4230</v>
      </c>
      <c r="E633" s="9" t="s">
        <v>50</v>
      </c>
      <c r="F633" s="9" t="s">
        <v>23</v>
      </c>
      <c r="G633" s="9" t="s">
        <v>24</v>
      </c>
      <c r="H633" s="8" t="s">
        <v>20</v>
      </c>
      <c r="I633" s="10">
        <v>425050</v>
      </c>
      <c r="J633" s="10">
        <v>5302920</v>
      </c>
      <c r="K633" s="11">
        <v>-42.422409999999999</v>
      </c>
      <c r="L633" s="11">
        <v>146.08895000000001</v>
      </c>
      <c r="M633" s="8"/>
      <c r="N633" s="8" t="s">
        <v>37</v>
      </c>
      <c r="O633" s="8">
        <v>1</v>
      </c>
      <c r="P633" s="8">
        <v>2</v>
      </c>
    </row>
    <row r="634" spans="1:16" s="7" customFormat="1" x14ac:dyDescent="0.15">
      <c r="A634" s="7" t="s">
        <v>895</v>
      </c>
      <c r="B634" s="9" t="str">
        <f>VLOOKUP(D634,[1]TASMaps!$H$4:$K$269,3,FALSE)</f>
        <v>TK09</v>
      </c>
      <c r="C634" s="9" t="str">
        <f>VLOOKUP(D634,[1]TASMaps!$H$4:$K$269,4,FALSE)</f>
        <v>Ben Lomond</v>
      </c>
      <c r="D634" s="9">
        <v>5440</v>
      </c>
      <c r="E634" s="9" t="s">
        <v>320</v>
      </c>
      <c r="F634" s="9" t="s">
        <v>297</v>
      </c>
      <c r="G634" s="9" t="s">
        <v>78</v>
      </c>
      <c r="H634" s="8" t="s">
        <v>20</v>
      </c>
      <c r="I634" s="10">
        <v>552080</v>
      </c>
      <c r="J634" s="10">
        <v>5403490</v>
      </c>
      <c r="K634" s="11">
        <v>-41.518529999999998</v>
      </c>
      <c r="L634" s="11">
        <v>147.62416999999999</v>
      </c>
      <c r="M634" s="8"/>
      <c r="N634" s="8" t="s">
        <v>37</v>
      </c>
      <c r="O634" s="8"/>
      <c r="P634" s="8">
        <v>1</v>
      </c>
    </row>
    <row r="635" spans="1:16" s="7" customFormat="1" x14ac:dyDescent="0.15">
      <c r="A635" s="7" t="s">
        <v>896</v>
      </c>
      <c r="B635" s="9" t="str">
        <f>VLOOKUP(D635,[1]TASMaps!$H$4:$K$269,3,FALSE)</f>
        <v>TN08</v>
      </c>
      <c r="C635" s="9" t="str">
        <f>VLOOKUP(D635,[1]TASMaps!$H$4:$K$269,4,FALSE)</f>
        <v>Tiberias</v>
      </c>
      <c r="D635" s="9">
        <v>5032</v>
      </c>
      <c r="E635" s="9" t="s">
        <v>519</v>
      </c>
      <c r="F635" s="9" t="s">
        <v>30</v>
      </c>
      <c r="G635" s="9" t="s">
        <v>36</v>
      </c>
      <c r="H635" s="8" t="s">
        <v>20</v>
      </c>
      <c r="I635" s="10">
        <v>518185</v>
      </c>
      <c r="J635" s="10">
        <v>5327575</v>
      </c>
      <c r="K635" s="11">
        <v>-42.203769999999999</v>
      </c>
      <c r="L635" s="11">
        <v>147.22028</v>
      </c>
      <c r="M635" s="8"/>
      <c r="N635" s="8" t="s">
        <v>37</v>
      </c>
      <c r="O635" s="8">
        <v>1</v>
      </c>
      <c r="P635" s="8">
        <v>1</v>
      </c>
    </row>
    <row r="636" spans="1:16" x14ac:dyDescent="0.15">
      <c r="A636" s="7" t="s">
        <v>897</v>
      </c>
      <c r="B636" s="9" t="str">
        <f>VLOOKUP(D636,[1]TASMaps!$H$4:$K$269,3,FALSE)</f>
        <v>TP05</v>
      </c>
      <c r="C636" s="9" t="str">
        <f>VLOOKUP(D636,[1]TASMaps!$H$4:$K$269,4,FALSE)</f>
        <v>Princess Range</v>
      </c>
      <c r="D636" s="9">
        <v>4027</v>
      </c>
      <c r="E636" s="9" t="s">
        <v>877</v>
      </c>
      <c r="F636" s="9" t="s">
        <v>30</v>
      </c>
      <c r="G636" s="9" t="s">
        <v>24</v>
      </c>
      <c r="H636" s="8" t="s">
        <v>20</v>
      </c>
      <c r="I636" s="10">
        <v>413690</v>
      </c>
      <c r="J636" s="10">
        <v>5276810</v>
      </c>
      <c r="K636" s="11">
        <v>-42.656329999999997</v>
      </c>
      <c r="L636" s="11">
        <v>145.94694000000001</v>
      </c>
      <c r="N636" s="8" t="s">
        <v>37</v>
      </c>
      <c r="O636" s="8">
        <v>2</v>
      </c>
      <c r="P636" s="8">
        <v>2</v>
      </c>
    </row>
    <row r="637" spans="1:16" x14ac:dyDescent="0.15">
      <c r="A637" s="9" t="s">
        <v>898</v>
      </c>
      <c r="B637" s="9" t="str">
        <f>VLOOKUP(D637,[1]TASMaps!$H$4:$K$269,3,FALSE)</f>
        <v>TK06</v>
      </c>
      <c r="C637" s="9" t="str">
        <f>VLOOKUP(D637,[1]TASMaps!$H$4:$K$269,4,FALSE)</f>
        <v>Fossey Mountains</v>
      </c>
      <c r="D637" s="9">
        <v>4240</v>
      </c>
      <c r="E637" s="9" t="s">
        <v>141</v>
      </c>
      <c r="F637" s="9" t="s">
        <v>18</v>
      </c>
      <c r="G637" s="9" t="s">
        <v>142</v>
      </c>
      <c r="H637" s="8" t="s">
        <v>20</v>
      </c>
      <c r="I637" s="10">
        <v>429080</v>
      </c>
      <c r="J637" s="10">
        <v>5403930</v>
      </c>
      <c r="K637" s="11">
        <v>-41.513120000000001</v>
      </c>
      <c r="L637" s="11">
        <v>146.15011000000001</v>
      </c>
      <c r="N637" s="8" t="s">
        <v>37</v>
      </c>
      <c r="P637" s="8">
        <v>1</v>
      </c>
    </row>
    <row r="638" spans="1:16" x14ac:dyDescent="0.15">
      <c r="A638" s="7" t="s">
        <v>899</v>
      </c>
      <c r="B638" s="9" t="str">
        <f>VLOOKUP(D638,[1]TASMaps!$H$4:$K$269,3,FALSE)</f>
        <v>TM06</v>
      </c>
      <c r="C638" s="9" t="str">
        <f>VLOOKUP(D638,[1]TASMaps!$H$4:$K$269,4,FALSE)</f>
        <v>St Clair</v>
      </c>
      <c r="D638" s="9">
        <v>4234</v>
      </c>
      <c r="E638" s="9" t="s">
        <v>259</v>
      </c>
      <c r="F638" s="9" t="s">
        <v>30</v>
      </c>
      <c r="G638" s="9" t="s">
        <v>36</v>
      </c>
      <c r="H638" s="8" t="s">
        <v>20</v>
      </c>
      <c r="I638" s="10">
        <v>424980</v>
      </c>
      <c r="J638" s="10">
        <v>5345655</v>
      </c>
      <c r="K638" s="11">
        <v>-42.037570000000002</v>
      </c>
      <c r="L638" s="11">
        <v>146.09361999999999</v>
      </c>
      <c r="M638" s="8" t="s">
        <v>21</v>
      </c>
      <c r="N638" s="8">
        <v>3</v>
      </c>
      <c r="O638" s="8">
        <v>3</v>
      </c>
      <c r="P638" s="8">
        <v>4</v>
      </c>
    </row>
    <row r="639" spans="1:16" x14ac:dyDescent="0.15">
      <c r="A639" s="7" t="s">
        <v>900</v>
      </c>
      <c r="B639" s="9" t="str">
        <f>VLOOKUP(D639,[1]TASMaps!$H$4:$K$269,3,FALSE)</f>
        <v>TM06</v>
      </c>
      <c r="C639" s="9" t="str">
        <f>VLOOKUP(D639,[1]TASMaps!$H$4:$K$269,4,FALSE)</f>
        <v>St Clair</v>
      </c>
      <c r="D639" s="9">
        <v>4234</v>
      </c>
      <c r="E639" s="9" t="s">
        <v>259</v>
      </c>
      <c r="F639" s="9" t="s">
        <v>30</v>
      </c>
      <c r="G639" s="9" t="s">
        <v>36</v>
      </c>
      <c r="H639" s="8" t="s">
        <v>20</v>
      </c>
      <c r="I639" s="10">
        <v>427025</v>
      </c>
      <c r="J639" s="10">
        <v>5344823</v>
      </c>
      <c r="K639" s="11">
        <v>-42.045259999999999</v>
      </c>
      <c r="L639" s="11">
        <v>146.11823000000001</v>
      </c>
      <c r="N639" s="8" t="s">
        <v>37</v>
      </c>
      <c r="P639" s="8">
        <v>3</v>
      </c>
    </row>
    <row r="640" spans="1:16" x14ac:dyDescent="0.15">
      <c r="A640" s="7" t="s">
        <v>901</v>
      </c>
      <c r="B640" s="9" t="str">
        <f>VLOOKUP(D640,[1]TASMaps!$H$4:$K$269,3,FALSE)</f>
        <v>TL06</v>
      </c>
      <c r="C640" s="9" t="str">
        <f>VLOOKUP(D640,[1]TASMaps!$H$4:$K$269,4,FALSE)</f>
        <v>Jerusalem</v>
      </c>
      <c r="D640" s="9">
        <v>4437</v>
      </c>
      <c r="E640" s="9" t="s">
        <v>448</v>
      </c>
      <c r="F640" s="9" t="s">
        <v>30</v>
      </c>
      <c r="G640" s="9" t="s">
        <v>33</v>
      </c>
      <c r="H640" s="8" t="s">
        <v>20</v>
      </c>
      <c r="I640" s="10">
        <v>441360</v>
      </c>
      <c r="J640" s="10">
        <v>5371050</v>
      </c>
      <c r="K640" s="11">
        <v>-41.810250000000003</v>
      </c>
      <c r="L640" s="11">
        <v>146.29402999999999</v>
      </c>
      <c r="N640" s="8" t="s">
        <v>37</v>
      </c>
      <c r="P640" s="8">
        <v>1</v>
      </c>
    </row>
    <row r="641" spans="1:16" x14ac:dyDescent="0.15">
      <c r="A641" s="9" t="s">
        <v>902</v>
      </c>
      <c r="B641" s="9" t="str">
        <f>VLOOKUP(D641,[1]TASMaps!$H$4:$K$269,3,FALSE)</f>
        <v>TL10</v>
      </c>
      <c r="C641" s="9" t="str">
        <f>VLOOKUP(D641,[1]TASMaps!$H$4:$K$269,4,FALSE)</f>
        <v>Douglas River</v>
      </c>
      <c r="D641" s="9">
        <v>5837</v>
      </c>
      <c r="E641" s="9" t="s">
        <v>903</v>
      </c>
      <c r="F641" s="9" t="s">
        <v>18</v>
      </c>
      <c r="G641" s="9" t="s">
        <v>44</v>
      </c>
      <c r="H641" s="8" t="s">
        <v>20</v>
      </c>
      <c r="I641" s="10">
        <v>598430</v>
      </c>
      <c r="J641" s="10">
        <v>5374210</v>
      </c>
      <c r="K641" s="11">
        <v>-41.777850000000001</v>
      </c>
      <c r="L641" s="11">
        <v>148.18440000000001</v>
      </c>
      <c r="N641" s="8" t="s">
        <v>37</v>
      </c>
      <c r="P641" s="8">
        <v>1</v>
      </c>
    </row>
    <row r="642" spans="1:16" x14ac:dyDescent="0.15">
      <c r="A642" s="7" t="s">
        <v>904</v>
      </c>
      <c r="B642" s="9" t="str">
        <f>VLOOKUP(D642,[1]TASMaps!$H$4:$K$269,3,FALSE)</f>
        <v>TR06</v>
      </c>
      <c r="C642" s="9" t="str">
        <f>VLOOKUP(D642,[1]TASMaps!$H$4:$K$269,4,FALSE)</f>
        <v>Western Arthur</v>
      </c>
      <c r="D642" s="9">
        <v>4422</v>
      </c>
      <c r="E642" s="9" t="s">
        <v>139</v>
      </c>
      <c r="F642" s="9" t="s">
        <v>30</v>
      </c>
      <c r="G642" s="9" t="s">
        <v>27</v>
      </c>
      <c r="H642" s="8" t="s">
        <v>20</v>
      </c>
      <c r="I642" s="10">
        <v>440390</v>
      </c>
      <c r="J642" s="10">
        <v>5223300</v>
      </c>
      <c r="K642" s="11">
        <v>-43.140700000000002</v>
      </c>
      <c r="L642" s="11">
        <v>146.26698999999999</v>
      </c>
      <c r="M642" s="8" t="s">
        <v>21</v>
      </c>
      <c r="N642" s="8" t="s">
        <v>37</v>
      </c>
      <c r="O642" s="8">
        <v>3</v>
      </c>
      <c r="P642" s="8">
        <v>4</v>
      </c>
    </row>
    <row r="643" spans="1:16" x14ac:dyDescent="0.15">
      <c r="A643" s="7" t="s">
        <v>905</v>
      </c>
      <c r="B643" s="9" t="str">
        <f>VLOOKUP(D643,[1]TASMaps!$H$4:$K$269,3,FALSE)</f>
        <v>TM06</v>
      </c>
      <c r="C643" s="9" t="str">
        <f>VLOOKUP(D643,[1]TASMaps!$H$4:$K$269,4,FALSE)</f>
        <v>St Clair</v>
      </c>
      <c r="D643" s="9">
        <v>4234</v>
      </c>
      <c r="E643" s="9" t="s">
        <v>259</v>
      </c>
      <c r="F643" s="9" t="s">
        <v>23</v>
      </c>
      <c r="G643" s="9" t="s">
        <v>36</v>
      </c>
      <c r="H643" s="8" t="s">
        <v>20</v>
      </c>
      <c r="I643" s="10">
        <v>428560</v>
      </c>
      <c r="J643" s="10">
        <v>5343235</v>
      </c>
      <c r="K643" s="11">
        <v>-42.059699999999999</v>
      </c>
      <c r="L643" s="11">
        <v>146.13658000000001</v>
      </c>
      <c r="M643" s="8" t="s">
        <v>21</v>
      </c>
      <c r="N643" s="8" t="s">
        <v>37</v>
      </c>
      <c r="O643" s="8">
        <v>1</v>
      </c>
      <c r="P643" s="8">
        <v>2</v>
      </c>
    </row>
    <row r="644" spans="1:16" x14ac:dyDescent="0.15">
      <c r="A644" s="9" t="s">
        <v>906</v>
      </c>
      <c r="B644" s="9" t="str">
        <f>VLOOKUP(D644,[1]TASMaps!$H$4:$K$269,3,FALSE)</f>
        <v>TQ05</v>
      </c>
      <c r="C644" s="9" t="str">
        <f>VLOOKUP(D644,[1]TASMaps!$H$4:$K$269,4,FALSE)</f>
        <v>Dohertys</v>
      </c>
      <c r="D644" s="9">
        <v>3825</v>
      </c>
      <c r="E644" s="9" t="s">
        <v>483</v>
      </c>
      <c r="F644" s="9" t="s">
        <v>30</v>
      </c>
      <c r="G644" s="9" t="s">
        <v>24</v>
      </c>
      <c r="H644" s="8" t="s">
        <v>20</v>
      </c>
      <c r="I644" s="10">
        <v>380470</v>
      </c>
      <c r="J644" s="10">
        <v>5253500</v>
      </c>
      <c r="K644" s="11">
        <v>-42.861739999999998</v>
      </c>
      <c r="L644" s="11">
        <v>145.53681</v>
      </c>
      <c r="N644" s="8" t="s">
        <v>37</v>
      </c>
      <c r="P644" s="8">
        <v>1</v>
      </c>
    </row>
    <row r="645" spans="1:16" x14ac:dyDescent="0.15">
      <c r="A645" s="7" t="s">
        <v>907</v>
      </c>
      <c r="B645" s="9" t="str">
        <f>VLOOKUP(D645,[1]TASMaps!$H$4:$K$269,3,FALSE)</f>
        <v>TL05</v>
      </c>
      <c r="C645" s="9" t="str">
        <f>VLOOKUP(D645,[1]TASMaps!$H$4:$K$269,4,FALSE)</f>
        <v>Murchison</v>
      </c>
      <c r="D645" s="9">
        <v>4036</v>
      </c>
      <c r="E645" s="9" t="s">
        <v>29</v>
      </c>
      <c r="F645" s="9" t="s">
        <v>30</v>
      </c>
      <c r="G645" s="9" t="s">
        <v>33</v>
      </c>
      <c r="H645" s="8" t="s">
        <v>20</v>
      </c>
      <c r="I645" s="10">
        <v>419750</v>
      </c>
      <c r="J645" s="10">
        <v>5364125</v>
      </c>
      <c r="K645" s="11">
        <v>-41.870719999999999</v>
      </c>
      <c r="L645" s="11">
        <v>146.03296</v>
      </c>
      <c r="M645" s="8" t="s">
        <v>21</v>
      </c>
      <c r="N645" s="8">
        <v>4</v>
      </c>
      <c r="O645" s="8">
        <v>4</v>
      </c>
      <c r="P645" s="8">
        <v>5</v>
      </c>
    </row>
    <row r="646" spans="1:16" x14ac:dyDescent="0.15">
      <c r="A646" s="7" t="s">
        <v>908</v>
      </c>
      <c r="B646" s="9" t="str">
        <f>VLOOKUP(D646,[1]TASMaps!$H$4:$K$269,3,FALSE)</f>
        <v>TK09</v>
      </c>
      <c r="C646" s="9" t="str">
        <f>VLOOKUP(D646,[1]TASMaps!$H$4:$K$269,4,FALSE)</f>
        <v>Ben Lomond</v>
      </c>
      <c r="D646" s="9">
        <v>5439</v>
      </c>
      <c r="E646" s="9" t="s">
        <v>95</v>
      </c>
      <c r="F646" s="9" t="s">
        <v>30</v>
      </c>
      <c r="G646" s="9" t="s">
        <v>78</v>
      </c>
      <c r="H646" s="8" t="s">
        <v>20</v>
      </c>
      <c r="I646" s="10">
        <v>557690</v>
      </c>
      <c r="J646" s="10">
        <v>5399760</v>
      </c>
      <c r="K646" s="11">
        <v>-41.551749999999998</v>
      </c>
      <c r="L646" s="11">
        <v>147.69175999999999</v>
      </c>
      <c r="N646" s="8" t="s">
        <v>37</v>
      </c>
      <c r="P646" s="8">
        <v>1</v>
      </c>
    </row>
    <row r="647" spans="1:16" x14ac:dyDescent="0.15">
      <c r="A647" s="7" t="s">
        <v>909</v>
      </c>
      <c r="B647" s="9" t="str">
        <f>VLOOKUP(D647,[1]TASMaps!$H$4:$K$269,3,FALSE)</f>
        <v>TP06</v>
      </c>
      <c r="C647" s="9" t="str">
        <f>VLOOKUP(D647,[1]TASMaps!$H$4:$K$269,4,FALSE)</f>
        <v>Denison Range</v>
      </c>
      <c r="D647" s="9">
        <v>4229</v>
      </c>
      <c r="E647" s="9" t="s">
        <v>128</v>
      </c>
      <c r="F647" s="9" t="s">
        <v>23</v>
      </c>
      <c r="G647" s="9" t="s">
        <v>19</v>
      </c>
      <c r="H647" s="8" t="s">
        <v>20</v>
      </c>
      <c r="I647" s="10">
        <v>429010</v>
      </c>
      <c r="J647" s="10">
        <v>5293720</v>
      </c>
      <c r="K647" s="11">
        <v>-42.505629999999996</v>
      </c>
      <c r="L647" s="11">
        <v>146.13594000000001</v>
      </c>
      <c r="N647" s="8" t="s">
        <v>37</v>
      </c>
      <c r="P647" s="8">
        <v>2</v>
      </c>
    </row>
    <row r="648" spans="1:16" x14ac:dyDescent="0.15">
      <c r="A648" s="7" t="s">
        <v>910</v>
      </c>
      <c r="B648" s="9" t="str">
        <f>VLOOKUP(D648,[1]TASMaps!$H$4:$K$269,3,FALSE)</f>
        <v>TM05</v>
      </c>
      <c r="C648" s="9" t="str">
        <f>VLOOKUP(D648,[1]TASMaps!$H$4:$K$269,4,FALSE)</f>
        <v>Eldon</v>
      </c>
      <c r="D648" s="9">
        <v>3833</v>
      </c>
      <c r="E648" s="9" t="s">
        <v>473</v>
      </c>
      <c r="F648" s="9" t="s">
        <v>30</v>
      </c>
      <c r="G648" s="9" t="s">
        <v>24</v>
      </c>
      <c r="H648" s="8" t="s">
        <v>20</v>
      </c>
      <c r="I648" s="10">
        <v>384560</v>
      </c>
      <c r="J648" s="10">
        <v>5338400</v>
      </c>
      <c r="K648" s="11">
        <v>-42.097999999999999</v>
      </c>
      <c r="L648" s="11">
        <v>145.60396</v>
      </c>
      <c r="M648" s="8" t="s">
        <v>21</v>
      </c>
      <c r="N648" s="8" t="s">
        <v>37</v>
      </c>
      <c r="O648" s="8">
        <v>1</v>
      </c>
      <c r="P648" s="8">
        <v>1</v>
      </c>
    </row>
    <row r="649" spans="1:16" x14ac:dyDescent="0.15">
      <c r="A649" s="7" t="s">
        <v>911</v>
      </c>
      <c r="B649" s="9" t="str">
        <f>VLOOKUP(D649,[1]TASMaps!$H$4:$K$269,3,FALSE)</f>
        <v>TL05</v>
      </c>
      <c r="C649" s="9" t="str">
        <f>VLOOKUP(D649,[1]TASMaps!$H$4:$K$269,4,FALSE)</f>
        <v>Murchison</v>
      </c>
      <c r="D649" s="9">
        <v>4036</v>
      </c>
      <c r="E649" s="9" t="s">
        <v>29</v>
      </c>
      <c r="F649" s="9" t="s">
        <v>23</v>
      </c>
      <c r="G649" s="9" t="s">
        <v>24</v>
      </c>
      <c r="H649" s="8" t="s">
        <v>20</v>
      </c>
      <c r="I649" s="10">
        <v>417780</v>
      </c>
      <c r="J649" s="10">
        <v>5365715</v>
      </c>
      <c r="K649" s="11">
        <v>-41.856200000000001</v>
      </c>
      <c r="L649" s="11">
        <v>146.00944999999999</v>
      </c>
      <c r="N649" s="8" t="s">
        <v>37</v>
      </c>
      <c r="O649" s="8">
        <v>1</v>
      </c>
      <c r="P649" s="8">
        <v>2</v>
      </c>
    </row>
    <row r="650" spans="1:16" x14ac:dyDescent="0.15">
      <c r="A650" s="7" t="s">
        <v>912</v>
      </c>
      <c r="B650" s="9" t="str">
        <f>VLOOKUP(D650,[1]TASMaps!$H$4:$K$269,3,FALSE)</f>
        <v>TS07</v>
      </c>
      <c r="C650" s="9" t="str">
        <f>VLOOKUP(D650,[1]TASMaps!$H$4:$K$269,4,FALSE)</f>
        <v>Adamsons</v>
      </c>
      <c r="D650" s="9">
        <v>4618</v>
      </c>
      <c r="E650" s="9" t="s">
        <v>343</v>
      </c>
      <c r="F650" s="9" t="s">
        <v>18</v>
      </c>
      <c r="G650" s="9" t="s">
        <v>27</v>
      </c>
      <c r="H650" s="8" t="s">
        <v>20</v>
      </c>
      <c r="I650" s="10">
        <v>473670</v>
      </c>
      <c r="J650" s="10">
        <v>5182750</v>
      </c>
      <c r="K650" s="11">
        <v>-43.507719999999999</v>
      </c>
      <c r="L650" s="11">
        <v>146.67427000000001</v>
      </c>
      <c r="N650" s="8" t="s">
        <v>37</v>
      </c>
      <c r="P650" s="8">
        <v>1</v>
      </c>
    </row>
    <row r="651" spans="1:16" x14ac:dyDescent="0.15">
      <c r="A651" s="7" t="s">
        <v>913</v>
      </c>
      <c r="B651" s="9" t="str">
        <f>VLOOKUP(D651,[1]TASMaps!$H$4:$K$269,3,FALSE)</f>
        <v>TL06</v>
      </c>
      <c r="C651" s="9" t="str">
        <f>VLOOKUP(D651,[1]TASMaps!$H$4:$K$269,4,FALSE)</f>
        <v>Jerusalem</v>
      </c>
      <c r="D651" s="9">
        <v>4438</v>
      </c>
      <c r="E651" s="9" t="s">
        <v>124</v>
      </c>
      <c r="F651" s="9" t="s">
        <v>18</v>
      </c>
      <c r="G651" s="9" t="s">
        <v>33</v>
      </c>
      <c r="H651" s="8" t="s">
        <v>20</v>
      </c>
      <c r="I651" s="10">
        <v>452410</v>
      </c>
      <c r="J651" s="10">
        <v>5383960</v>
      </c>
      <c r="K651" s="11">
        <v>-41.694719999999997</v>
      </c>
      <c r="L651" s="11">
        <v>146.42809</v>
      </c>
      <c r="N651" s="8" t="s">
        <v>37</v>
      </c>
      <c r="P651" s="8">
        <v>1</v>
      </c>
    </row>
    <row r="652" spans="1:16" x14ac:dyDescent="0.15">
      <c r="A652" s="7" t="s">
        <v>914</v>
      </c>
      <c r="B652" s="9" t="str">
        <f>VLOOKUP(D652,[1]TASMaps!$H$4:$K$269,3,FALSE)</f>
        <v>TL06</v>
      </c>
      <c r="C652" s="9" t="str">
        <f>VLOOKUP(D652,[1]TASMaps!$H$4:$K$269,4,FALSE)</f>
        <v>Jerusalem</v>
      </c>
      <c r="D652" s="9">
        <v>4238</v>
      </c>
      <c r="E652" s="9" t="s">
        <v>915</v>
      </c>
      <c r="F652" s="9" t="s">
        <v>18</v>
      </c>
      <c r="G652" s="9" t="s">
        <v>33</v>
      </c>
      <c r="H652" s="8" t="s">
        <v>20</v>
      </c>
      <c r="I652" s="10">
        <v>436390</v>
      </c>
      <c r="J652" s="10">
        <v>5388330</v>
      </c>
      <c r="K652" s="11">
        <v>-41.654240000000001</v>
      </c>
      <c r="L652" s="11">
        <v>146.23605000000001</v>
      </c>
      <c r="N652" s="8" t="s">
        <v>37</v>
      </c>
      <c r="O652" s="8">
        <v>1</v>
      </c>
      <c r="P652" s="8">
        <v>1</v>
      </c>
    </row>
    <row r="653" spans="1:16" x14ac:dyDescent="0.15">
      <c r="A653" s="9" t="s">
        <v>916</v>
      </c>
      <c r="B653" s="9" t="str">
        <f>VLOOKUP(D653,[1]TASMaps!$H$4:$K$269,3,FALSE)</f>
        <v>TJ09</v>
      </c>
      <c r="C653" s="9" t="str">
        <f>VLOOKUP(D653,[1]TASMaps!$H$4:$K$269,4,FALSE)</f>
        <v>Legerwood</v>
      </c>
      <c r="D653" s="9">
        <v>5643</v>
      </c>
      <c r="E653" s="9" t="s">
        <v>644</v>
      </c>
      <c r="F653" s="9" t="s">
        <v>30</v>
      </c>
      <c r="G653" s="9" t="s">
        <v>210</v>
      </c>
      <c r="H653" s="8" t="s">
        <v>20</v>
      </c>
      <c r="I653" s="10">
        <v>565230</v>
      </c>
      <c r="J653" s="10">
        <v>5437410</v>
      </c>
      <c r="K653" s="11">
        <v>-41.212060000000001</v>
      </c>
      <c r="L653" s="11">
        <v>147.77811</v>
      </c>
      <c r="N653" s="8" t="s">
        <v>37</v>
      </c>
      <c r="P653" s="8">
        <v>1</v>
      </c>
    </row>
    <row r="654" spans="1:16" x14ac:dyDescent="0.15">
      <c r="A654" s="14" t="s">
        <v>917</v>
      </c>
      <c r="B654" s="9" t="str">
        <f>VLOOKUP(D654,[1]TASMaps!$H$4:$K$269,3,FALSE)</f>
        <v>TL06</v>
      </c>
      <c r="C654" s="9" t="str">
        <f>VLOOKUP(D654,[1]TASMaps!$H$4:$K$269,4,FALSE)</f>
        <v>Jerusalem</v>
      </c>
      <c r="D654" s="9">
        <v>4438</v>
      </c>
      <c r="E654" s="9" t="s">
        <v>124</v>
      </c>
      <c r="F654" s="9" t="s">
        <v>30</v>
      </c>
      <c r="G654" s="9" t="s">
        <v>33</v>
      </c>
      <c r="H654" s="8" t="s">
        <v>20</v>
      </c>
      <c r="I654" s="10">
        <v>447640</v>
      </c>
      <c r="J654" s="10">
        <v>5390130</v>
      </c>
      <c r="K654" s="11">
        <v>-41.638849999999998</v>
      </c>
      <c r="L654" s="11">
        <v>146.37130999999999</v>
      </c>
      <c r="N654" s="8" t="s">
        <v>37</v>
      </c>
      <c r="P654" s="8">
        <v>1</v>
      </c>
    </row>
    <row r="655" spans="1:16" x14ac:dyDescent="0.15">
      <c r="A655" s="7" t="s">
        <v>918</v>
      </c>
      <c r="B655" s="9" t="str">
        <f>VLOOKUP(D655,[1]TASMaps!$H$4:$K$269,3,FALSE)</f>
        <v>TM08</v>
      </c>
      <c r="C655" s="9" t="str">
        <f>VLOOKUP(D655,[1]TASMaps!$H$4:$K$269,4,FALSE)</f>
        <v>Dogs Head Tier</v>
      </c>
      <c r="D655" s="9">
        <v>5035</v>
      </c>
      <c r="E655" s="9" t="s">
        <v>626</v>
      </c>
      <c r="F655" s="9" t="s">
        <v>30</v>
      </c>
      <c r="G655" s="9" t="s">
        <v>36</v>
      </c>
      <c r="H655" s="8" t="s">
        <v>20</v>
      </c>
      <c r="I655" s="10">
        <v>503990</v>
      </c>
      <c r="J655" s="10">
        <v>5359200</v>
      </c>
      <c r="K655" s="11">
        <v>-41.919139999999999</v>
      </c>
      <c r="L655" s="11">
        <v>147.04812000000001</v>
      </c>
      <c r="M655" s="8" t="s">
        <v>21</v>
      </c>
      <c r="N655" s="8" t="s">
        <v>37</v>
      </c>
      <c r="O655" s="8">
        <v>1</v>
      </c>
      <c r="P655" s="8">
        <v>1</v>
      </c>
    </row>
    <row r="656" spans="1:16" x14ac:dyDescent="0.15">
      <c r="A656" s="7" t="s">
        <v>919</v>
      </c>
      <c r="B656" s="9" t="str">
        <f>VLOOKUP(D656,[1]TASMaps!$H$4:$K$269,3,FALSE)</f>
        <v>TL04</v>
      </c>
      <c r="C656" s="9" t="str">
        <f>VLOOKUP(D656,[1]TASMaps!$H$4:$K$269,4,FALSE)</f>
        <v>Lake Pieman</v>
      </c>
      <c r="D656" s="9">
        <v>3638</v>
      </c>
      <c r="E656" s="9" t="s">
        <v>249</v>
      </c>
      <c r="F656" s="9" t="s">
        <v>30</v>
      </c>
      <c r="G656" s="9" t="s">
        <v>24</v>
      </c>
      <c r="H656" s="8" t="s">
        <v>20</v>
      </c>
      <c r="I656" s="10">
        <v>361560</v>
      </c>
      <c r="J656" s="10">
        <v>5383860</v>
      </c>
      <c r="K656" s="11">
        <v>-41.685000000000002</v>
      </c>
      <c r="L656" s="11">
        <v>145.33658</v>
      </c>
      <c r="N656" s="8" t="s">
        <v>37</v>
      </c>
      <c r="O656" s="8">
        <v>2</v>
      </c>
      <c r="P656" s="8">
        <v>2</v>
      </c>
    </row>
    <row r="657" spans="1:16" x14ac:dyDescent="0.15">
      <c r="A657" s="7" t="s">
        <v>920</v>
      </c>
      <c r="B657" s="9" t="str">
        <f>VLOOKUP(D657,[1]TASMaps!$H$4:$K$269,3,FALSE)</f>
        <v>TM10</v>
      </c>
      <c r="C657" s="9" t="str">
        <f>VLOOKUP(D657,[1]TASMaps!$H$4:$K$269,4,FALSE)</f>
        <v>Moulting Lagoon</v>
      </c>
      <c r="D657" s="9">
        <v>6033</v>
      </c>
      <c r="E657" s="9" t="s">
        <v>61</v>
      </c>
      <c r="F657" s="9" t="s">
        <v>30</v>
      </c>
      <c r="G657" s="9" t="s">
        <v>62</v>
      </c>
      <c r="H657" s="8" t="s">
        <v>20</v>
      </c>
      <c r="I657" s="10">
        <v>608940</v>
      </c>
      <c r="J657" s="10">
        <v>5333150</v>
      </c>
      <c r="K657" s="11">
        <v>-42.1462</v>
      </c>
      <c r="L657" s="11">
        <v>148.31843000000001</v>
      </c>
      <c r="N657" s="8" t="s">
        <v>37</v>
      </c>
      <c r="P657" s="8">
        <v>1</v>
      </c>
    </row>
    <row r="658" spans="1:16" x14ac:dyDescent="0.15">
      <c r="A658" s="7" t="s">
        <v>921</v>
      </c>
      <c r="B658" s="9" t="str">
        <f>VLOOKUP(D658,[1]TASMaps!$H$4:$K$269,3,FALSE)</f>
        <v>TM06</v>
      </c>
      <c r="C658" s="9" t="str">
        <f>VLOOKUP(D658,[1]TASMaps!$H$4:$K$269,4,FALSE)</f>
        <v>St Clair</v>
      </c>
      <c r="D658" s="9">
        <v>4235</v>
      </c>
      <c r="E658" s="9" t="s">
        <v>32</v>
      </c>
      <c r="F658" s="9" t="s">
        <v>30</v>
      </c>
      <c r="G658" s="9" t="s">
        <v>33</v>
      </c>
      <c r="H658" s="8" t="s">
        <v>20</v>
      </c>
      <c r="I658" s="10">
        <v>421430</v>
      </c>
      <c r="J658" s="10">
        <v>5354975</v>
      </c>
      <c r="K658" s="11">
        <v>-41.953290000000003</v>
      </c>
      <c r="L658" s="11">
        <v>146.05198999999999</v>
      </c>
      <c r="N658" s="8" t="s">
        <v>37</v>
      </c>
      <c r="O658" s="8">
        <v>1</v>
      </c>
      <c r="P658" s="8">
        <v>1</v>
      </c>
    </row>
    <row r="659" spans="1:16" x14ac:dyDescent="0.15">
      <c r="A659" s="7" t="s">
        <v>922</v>
      </c>
      <c r="B659" s="9" t="str">
        <f>VLOOKUP(D659,[1]TASMaps!$H$4:$K$269,3,FALSE)</f>
        <v>TM07</v>
      </c>
      <c r="C659" s="9" t="str">
        <f>VLOOKUP(D659,[1]TASMaps!$H$4:$K$269,4,FALSE)</f>
        <v>Penstock</v>
      </c>
      <c r="D659" s="9">
        <v>4835</v>
      </c>
      <c r="E659" s="9" t="s">
        <v>923</v>
      </c>
      <c r="F659" s="9" t="s">
        <v>30</v>
      </c>
      <c r="G659" s="9" t="s">
        <v>36</v>
      </c>
      <c r="H659" s="8" t="s">
        <v>20</v>
      </c>
      <c r="I659" s="10">
        <v>498930</v>
      </c>
      <c r="J659" s="10">
        <v>5352420</v>
      </c>
      <c r="K659" s="11">
        <v>-41.980220000000003</v>
      </c>
      <c r="L659" s="11">
        <v>146.98707999999999</v>
      </c>
      <c r="M659" s="8" t="s">
        <v>21</v>
      </c>
      <c r="N659" s="8" t="s">
        <v>37</v>
      </c>
      <c r="P659" s="8">
        <v>1</v>
      </c>
    </row>
    <row r="660" spans="1:16" x14ac:dyDescent="0.15">
      <c r="A660" s="7" t="s">
        <v>922</v>
      </c>
      <c r="B660" s="9" t="str">
        <f>VLOOKUP(D660,[1]TASMaps!$H$4:$K$269,3,FALSE)</f>
        <v>TQ08</v>
      </c>
      <c r="C660" s="9" t="str">
        <f>VLOOKUP(D660,[1]TASMaps!$H$4:$K$269,4,FALSE)</f>
        <v>Wellington</v>
      </c>
      <c r="D660" s="9">
        <v>5025</v>
      </c>
      <c r="E660" s="9" t="s">
        <v>84</v>
      </c>
      <c r="F660" s="9" t="s">
        <v>30</v>
      </c>
      <c r="G660" s="9" t="s">
        <v>19</v>
      </c>
      <c r="H660" s="8" t="s">
        <v>20</v>
      </c>
      <c r="I660" s="10">
        <v>506530</v>
      </c>
      <c r="J660" s="10">
        <v>5250570</v>
      </c>
      <c r="K660" s="11">
        <v>-42.897449999999999</v>
      </c>
      <c r="L660" s="11">
        <v>147.07998000000001</v>
      </c>
      <c r="N660" s="8" t="s">
        <v>37</v>
      </c>
      <c r="O660" s="8">
        <v>1</v>
      </c>
      <c r="P660" s="8">
        <v>1</v>
      </c>
    </row>
    <row r="661" spans="1:16" x14ac:dyDescent="0.15">
      <c r="A661" s="7" t="s">
        <v>924</v>
      </c>
      <c r="B661" s="9" t="str">
        <f>VLOOKUP(D661,[1]TASMaps!$H$4:$K$269,3,FALSE)</f>
        <v>TK09</v>
      </c>
      <c r="C661" s="9" t="str">
        <f>VLOOKUP(D661,[1]TASMaps!$H$4:$K$269,4,FALSE)</f>
        <v>Ben Lomond</v>
      </c>
      <c r="D661" s="9">
        <v>5639</v>
      </c>
      <c r="E661" s="9" t="s">
        <v>155</v>
      </c>
      <c r="F661" s="9" t="s">
        <v>30</v>
      </c>
      <c r="G661" s="9" t="s">
        <v>78</v>
      </c>
      <c r="H661" s="8" t="s">
        <v>20</v>
      </c>
      <c r="I661" s="10">
        <v>562365</v>
      </c>
      <c r="J661" s="10">
        <v>5394750</v>
      </c>
      <c r="K661" s="11">
        <v>-41.596519999999998</v>
      </c>
      <c r="L661" s="11">
        <v>147.74833000000001</v>
      </c>
      <c r="N661" s="8" t="s">
        <v>37</v>
      </c>
      <c r="O661" s="8">
        <v>1</v>
      </c>
      <c r="P661" s="8">
        <v>1</v>
      </c>
    </row>
    <row r="662" spans="1:16" x14ac:dyDescent="0.15">
      <c r="A662" s="7" t="s">
        <v>925</v>
      </c>
      <c r="B662" s="9" t="str">
        <f>VLOOKUP(D662,[1]TASMaps!$H$4:$K$269,3,FALSE)</f>
        <v>TK05</v>
      </c>
      <c r="C662" s="9" t="str">
        <f>VLOOKUP(D662,[1]TASMaps!$H$4:$K$269,4,FALSE)</f>
        <v>Black Bluff</v>
      </c>
      <c r="D662" s="9">
        <v>3840</v>
      </c>
      <c r="E662" s="9" t="s">
        <v>848</v>
      </c>
      <c r="F662" s="9" t="s">
        <v>30</v>
      </c>
      <c r="G662" s="9" t="s">
        <v>117</v>
      </c>
      <c r="H662" s="8" t="s">
        <v>20</v>
      </c>
      <c r="I662" s="10">
        <v>384310</v>
      </c>
      <c r="J662" s="10">
        <v>5404720</v>
      </c>
      <c r="K662" s="11">
        <v>-41.500790000000002</v>
      </c>
      <c r="L662" s="11">
        <v>145.61386999999999</v>
      </c>
      <c r="N662" s="8" t="s">
        <v>37</v>
      </c>
      <c r="O662" s="8">
        <v>1</v>
      </c>
      <c r="P662" s="8">
        <v>1</v>
      </c>
    </row>
    <row r="663" spans="1:16" x14ac:dyDescent="0.15">
      <c r="A663" s="7" t="s">
        <v>926</v>
      </c>
      <c r="B663" s="9" t="str">
        <f>VLOOKUP(D663,[1]TASMaps!$H$4:$K$269,3,FALSE)</f>
        <v>TJ10</v>
      </c>
      <c r="C663" s="9" t="str">
        <f>VLOOKUP(D663,[1]TASMaps!$H$4:$K$269,4,FALSE)</f>
        <v>Bay of Fires</v>
      </c>
      <c r="D663" s="9">
        <v>6043</v>
      </c>
      <c r="E663" s="9" t="s">
        <v>444</v>
      </c>
      <c r="F663" s="9" t="s">
        <v>30</v>
      </c>
      <c r="G663" s="9" t="s">
        <v>44</v>
      </c>
      <c r="H663" s="8" t="s">
        <v>20</v>
      </c>
      <c r="I663" s="10">
        <v>603450</v>
      </c>
      <c r="J663" s="10">
        <v>5433550</v>
      </c>
      <c r="K663" s="11">
        <v>-41.242840000000001</v>
      </c>
      <c r="L663" s="11">
        <v>148.23459</v>
      </c>
      <c r="N663" s="8" t="s">
        <v>37</v>
      </c>
      <c r="P663" s="8">
        <v>1</v>
      </c>
    </row>
    <row r="664" spans="1:16" x14ac:dyDescent="0.15">
      <c r="A664" s="9" t="s">
        <v>927</v>
      </c>
      <c r="B664" s="9" t="str">
        <f>VLOOKUP(D664,[1]TASMaps!$H$4:$K$269,3,FALSE)</f>
        <v>TP10</v>
      </c>
      <c r="C664" s="9" t="str">
        <f>VLOOKUP(D664,[1]TASMaps!$H$4:$K$269,4,FALSE)</f>
        <v>Maria</v>
      </c>
      <c r="D664" s="9">
        <v>5828</v>
      </c>
      <c r="E664" s="9" t="s">
        <v>173</v>
      </c>
      <c r="F664" s="9" t="s">
        <v>30</v>
      </c>
      <c r="G664" s="9" t="s">
        <v>62</v>
      </c>
      <c r="H664" s="8" t="s">
        <v>20</v>
      </c>
      <c r="I664" s="10">
        <v>591490</v>
      </c>
      <c r="J664" s="10">
        <v>5283150</v>
      </c>
      <c r="K664" s="11">
        <v>-42.598649999999999</v>
      </c>
      <c r="L664" s="11">
        <v>148.11521999999999</v>
      </c>
      <c r="N664" s="8" t="s">
        <v>37</v>
      </c>
      <c r="P664" s="8">
        <v>1</v>
      </c>
    </row>
    <row r="665" spans="1:16" x14ac:dyDescent="0.15">
      <c r="A665" s="9" t="s">
        <v>928</v>
      </c>
      <c r="B665" s="9" t="str">
        <f>VLOOKUP(D665,[1]TASMaps!$H$4:$K$269,3,FALSE)</f>
        <v>TJ09</v>
      </c>
      <c r="C665" s="9" t="str">
        <f>VLOOKUP(D665,[1]TASMaps!$H$4:$K$269,4,FALSE)</f>
        <v>Legerwood</v>
      </c>
      <c r="D665" s="9">
        <v>5443</v>
      </c>
      <c r="E665" s="9" t="s">
        <v>393</v>
      </c>
      <c r="F665" s="9" t="s">
        <v>18</v>
      </c>
      <c r="G665" s="9" t="s">
        <v>210</v>
      </c>
      <c r="H665" s="8" t="s">
        <v>20</v>
      </c>
      <c r="I665" s="10">
        <v>556090</v>
      </c>
      <c r="J665" s="10">
        <v>5433140</v>
      </c>
      <c r="K665" s="11">
        <v>-41.25121</v>
      </c>
      <c r="L665" s="11">
        <v>147.66947999999999</v>
      </c>
      <c r="N665" s="8" t="s">
        <v>37</v>
      </c>
      <c r="P665" s="8">
        <v>1</v>
      </c>
    </row>
    <row r="666" spans="1:16" x14ac:dyDescent="0.15">
      <c r="A666" s="7" t="s">
        <v>929</v>
      </c>
      <c r="B666" s="9" t="str">
        <f>VLOOKUP(D666,[1]TASMaps!$H$4:$K$269,3,FALSE)</f>
        <v>TR06</v>
      </c>
      <c r="C666" s="9" t="str">
        <f>VLOOKUP(D666,[1]TASMaps!$H$4:$K$269,4,FALSE)</f>
        <v>Western Arthur</v>
      </c>
      <c r="D666" s="9">
        <v>4422</v>
      </c>
      <c r="E666" s="9" t="s">
        <v>139</v>
      </c>
      <c r="F666" s="9" t="s">
        <v>30</v>
      </c>
      <c r="G666" s="9" t="s">
        <v>27</v>
      </c>
      <c r="H666" s="8" t="s">
        <v>20</v>
      </c>
      <c r="I666" s="10">
        <v>441010</v>
      </c>
      <c r="J666" s="10">
        <v>5221830</v>
      </c>
      <c r="K666" s="11">
        <v>-43.153979999999997</v>
      </c>
      <c r="L666" s="11">
        <v>146.27446</v>
      </c>
      <c r="N666" s="8" t="s">
        <v>37</v>
      </c>
      <c r="O666" s="8">
        <v>2</v>
      </c>
      <c r="P666" s="8">
        <v>2</v>
      </c>
    </row>
    <row r="667" spans="1:16" x14ac:dyDescent="0.15">
      <c r="A667" s="7" t="s">
        <v>930</v>
      </c>
      <c r="B667" s="9" t="str">
        <f>VLOOKUP(D667,[1]TASMaps!$H$4:$K$269,3,FALSE)</f>
        <v>TR06</v>
      </c>
      <c r="C667" s="9" t="str">
        <f>VLOOKUP(D667,[1]TASMaps!$H$4:$K$269,4,FALSE)</f>
        <v>Western Arthur</v>
      </c>
      <c r="D667" s="9">
        <v>4422</v>
      </c>
      <c r="E667" s="9" t="s">
        <v>139</v>
      </c>
      <c r="F667" s="9" t="s">
        <v>30</v>
      </c>
      <c r="G667" s="9" t="s">
        <v>27</v>
      </c>
      <c r="H667" s="8" t="s">
        <v>20</v>
      </c>
      <c r="I667" s="10">
        <v>441230</v>
      </c>
      <c r="J667" s="10">
        <v>5222440</v>
      </c>
      <c r="K667" s="11">
        <v>-43.148510000000002</v>
      </c>
      <c r="L667" s="11">
        <v>146.27723</v>
      </c>
      <c r="N667" s="8" t="s">
        <v>37</v>
      </c>
      <c r="O667" s="8">
        <v>3</v>
      </c>
      <c r="P667" s="8">
        <v>3</v>
      </c>
    </row>
    <row r="668" spans="1:16" x14ac:dyDescent="0.15">
      <c r="A668" s="7" t="s">
        <v>931</v>
      </c>
      <c r="B668" s="9" t="str">
        <f>VLOOKUP(D668,[1]TASMaps!$H$4:$K$269,3,FALSE)</f>
        <v>TL06</v>
      </c>
      <c r="C668" s="9" t="str">
        <f>VLOOKUP(D668,[1]TASMaps!$H$4:$K$269,4,FALSE)</f>
        <v>Jerusalem</v>
      </c>
      <c r="D668" s="9">
        <v>4236</v>
      </c>
      <c r="E668" s="9" t="s">
        <v>177</v>
      </c>
      <c r="F668" s="9" t="s">
        <v>30</v>
      </c>
      <c r="G668" s="9" t="s">
        <v>33</v>
      </c>
      <c r="H668" s="8" t="s">
        <v>20</v>
      </c>
      <c r="I668" s="10">
        <v>422610</v>
      </c>
      <c r="J668" s="10">
        <v>5365655</v>
      </c>
      <c r="K668" s="11">
        <v>-41.857230000000001</v>
      </c>
      <c r="L668" s="11">
        <v>146.06762000000001</v>
      </c>
      <c r="M668" s="8" t="s">
        <v>21</v>
      </c>
      <c r="N668" s="8">
        <v>2</v>
      </c>
      <c r="O668" s="8">
        <v>2</v>
      </c>
      <c r="P668" s="8">
        <v>3</v>
      </c>
    </row>
    <row r="669" spans="1:16" x14ac:dyDescent="0.15">
      <c r="A669" s="7" t="s">
        <v>932</v>
      </c>
      <c r="B669" s="9" t="str">
        <f>VLOOKUP(D669,[1]TASMaps!$H$4:$K$269,3,FALSE)</f>
        <v>TL05</v>
      </c>
      <c r="C669" s="9" t="str">
        <f>VLOOKUP(D669,[1]TASMaps!$H$4:$K$269,4,FALSE)</f>
        <v>Murchison</v>
      </c>
      <c r="D669" s="9">
        <v>4036</v>
      </c>
      <c r="E669" s="9" t="s">
        <v>29</v>
      </c>
      <c r="F669" s="9" t="s">
        <v>30</v>
      </c>
      <c r="G669" s="9" t="s">
        <v>24</v>
      </c>
      <c r="H669" s="8" t="s">
        <v>20</v>
      </c>
      <c r="I669" s="10">
        <v>415110</v>
      </c>
      <c r="J669" s="10">
        <v>5368400</v>
      </c>
      <c r="K669" s="11">
        <v>-41.831740000000003</v>
      </c>
      <c r="L669" s="11">
        <v>145.97766999999999</v>
      </c>
      <c r="M669" s="8" t="s">
        <v>21</v>
      </c>
      <c r="N669" s="8">
        <v>5</v>
      </c>
      <c r="O669" s="8">
        <v>5</v>
      </c>
      <c r="P669" s="8">
        <v>6</v>
      </c>
    </row>
    <row r="670" spans="1:16" x14ac:dyDescent="0.15">
      <c r="A670" s="9" t="s">
        <v>933</v>
      </c>
      <c r="B670" s="9" t="str">
        <f>VLOOKUP(D670,[1]TASMaps!$H$4:$K$269,3,FALSE)</f>
        <v>TL05</v>
      </c>
      <c r="C670" s="9" t="str">
        <f>VLOOKUP(D670,[1]TASMaps!$H$4:$K$269,4,FALSE)</f>
        <v>Murchison</v>
      </c>
      <c r="D670" s="9">
        <v>4038</v>
      </c>
      <c r="E670" s="9" t="s">
        <v>90</v>
      </c>
      <c r="F670" s="9" t="s">
        <v>30</v>
      </c>
      <c r="G670" s="9" t="s">
        <v>24</v>
      </c>
      <c r="H670" s="8" t="s">
        <v>20</v>
      </c>
      <c r="I670" s="10">
        <v>405640</v>
      </c>
      <c r="J670" s="10">
        <v>5381840</v>
      </c>
      <c r="K670" s="11">
        <v>-41.70964</v>
      </c>
      <c r="L670" s="11">
        <v>145.86578</v>
      </c>
      <c r="N670" s="8" t="s">
        <v>37</v>
      </c>
      <c r="P670" s="8">
        <v>1</v>
      </c>
    </row>
    <row r="671" spans="1:16" x14ac:dyDescent="0.15">
      <c r="A671" s="9" t="s">
        <v>934</v>
      </c>
      <c r="B671" s="9" t="str">
        <f>VLOOKUP(D671,[1]TASMaps!$H$4:$K$269,3,FALSE)</f>
        <v>TL10</v>
      </c>
      <c r="C671" s="9" t="str">
        <f>VLOOKUP(D671,[1]TASMaps!$H$4:$K$269,4,FALSE)</f>
        <v>Douglas River</v>
      </c>
      <c r="D671" s="9">
        <v>5837</v>
      </c>
      <c r="E671" s="9" t="s">
        <v>903</v>
      </c>
      <c r="F671" s="9" t="s">
        <v>18</v>
      </c>
      <c r="G671" s="9" t="s">
        <v>44</v>
      </c>
      <c r="H671" s="8" t="s">
        <v>20</v>
      </c>
      <c r="I671" s="10">
        <v>598170</v>
      </c>
      <c r="J671" s="10">
        <v>5370840</v>
      </c>
      <c r="K671" s="11">
        <v>-41.808230000000002</v>
      </c>
      <c r="L671" s="11">
        <v>148.18181999999999</v>
      </c>
      <c r="N671" s="8" t="s">
        <v>37</v>
      </c>
      <c r="P671" s="8">
        <v>1</v>
      </c>
    </row>
    <row r="672" spans="1:16" x14ac:dyDescent="0.15">
      <c r="A672" s="7" t="s">
        <v>935</v>
      </c>
      <c r="B672" s="9" t="str">
        <f>VLOOKUP(D672,[1]TASMaps!$H$4:$K$269,3,FALSE)</f>
        <v>TM07</v>
      </c>
      <c r="C672" s="9" t="str">
        <f>VLOOKUP(D672,[1]TASMaps!$H$4:$K$269,4,FALSE)</f>
        <v>Penstock</v>
      </c>
      <c r="D672" s="9">
        <v>4834</v>
      </c>
      <c r="E672" s="9" t="s">
        <v>184</v>
      </c>
      <c r="F672" s="9" t="s">
        <v>30</v>
      </c>
      <c r="G672" s="9" t="s">
        <v>36</v>
      </c>
      <c r="H672" s="8" t="s">
        <v>20</v>
      </c>
      <c r="I672" s="10">
        <v>495770</v>
      </c>
      <c r="J672" s="10">
        <v>5347030</v>
      </c>
      <c r="K672" s="11">
        <v>-42.028750000000002</v>
      </c>
      <c r="L672" s="11">
        <v>146.94890000000001</v>
      </c>
      <c r="M672" s="8" t="s">
        <v>21</v>
      </c>
      <c r="N672" s="8" t="s">
        <v>37</v>
      </c>
      <c r="P672" s="8">
        <v>1</v>
      </c>
    </row>
    <row r="673" spans="1:16" x14ac:dyDescent="0.15">
      <c r="A673" s="7" t="s">
        <v>936</v>
      </c>
      <c r="B673" s="9" t="str">
        <f>VLOOKUP(D673,[1]TASMaps!$H$4:$K$269,3,FALSE)</f>
        <v>TM08</v>
      </c>
      <c r="C673" s="9" t="str">
        <f>VLOOKUP(D673,[1]TASMaps!$H$4:$K$269,4,FALSE)</f>
        <v>Dogs Head Tier</v>
      </c>
      <c r="D673" s="9">
        <v>5034</v>
      </c>
      <c r="E673" s="9" t="s">
        <v>378</v>
      </c>
      <c r="F673" s="9" t="s">
        <v>30</v>
      </c>
      <c r="G673" s="9" t="s">
        <v>36</v>
      </c>
      <c r="H673" s="8" t="s">
        <v>20</v>
      </c>
      <c r="I673" s="10">
        <v>501020</v>
      </c>
      <c r="J673" s="10">
        <v>5345360</v>
      </c>
      <c r="K673" s="11">
        <v>-42.043810000000001</v>
      </c>
      <c r="L673" s="11">
        <v>147.01231999999999</v>
      </c>
      <c r="N673" s="8" t="s">
        <v>37</v>
      </c>
      <c r="P673" s="8">
        <v>1</v>
      </c>
    </row>
    <row r="674" spans="1:16" x14ac:dyDescent="0.15">
      <c r="A674" s="9" t="s">
        <v>937</v>
      </c>
      <c r="B674" s="9" t="str">
        <f>VLOOKUP(D674,[1]TASMaps!$H$4:$K$269,3,FALSE)</f>
        <v>TP10</v>
      </c>
      <c r="C674" s="9" t="str">
        <f>VLOOKUP(D674,[1]TASMaps!$H$4:$K$269,4,FALSE)</f>
        <v>Maria</v>
      </c>
      <c r="D674" s="9">
        <v>5827</v>
      </c>
      <c r="E674" s="9" t="s">
        <v>938</v>
      </c>
      <c r="F674" s="9" t="s">
        <v>30</v>
      </c>
      <c r="G674" s="9" t="s">
        <v>62</v>
      </c>
      <c r="H674" s="8" t="s">
        <v>20</v>
      </c>
      <c r="I674" s="10">
        <v>593500</v>
      </c>
      <c r="J674" s="10">
        <v>5276640</v>
      </c>
      <c r="K674" s="11">
        <v>-42.657020000000003</v>
      </c>
      <c r="L674" s="11">
        <v>148.14079000000001</v>
      </c>
      <c r="N674" s="8" t="s">
        <v>37</v>
      </c>
      <c r="P674" s="8">
        <v>1</v>
      </c>
    </row>
    <row r="675" spans="1:16" x14ac:dyDescent="0.15">
      <c r="A675" s="7" t="s">
        <v>939</v>
      </c>
      <c r="B675" s="9" t="str">
        <f>VLOOKUP(D675,[1]TASMaps!$H$4:$K$269,3,FALSE)</f>
        <v>TL05</v>
      </c>
      <c r="C675" s="9" t="str">
        <f>VLOOKUP(D675,[1]TASMaps!$H$4:$K$269,4,FALSE)</f>
        <v>Murchison</v>
      </c>
      <c r="D675" s="9">
        <v>4036</v>
      </c>
      <c r="E675" s="9" t="s">
        <v>29</v>
      </c>
      <c r="F675" s="9" t="s">
        <v>30</v>
      </c>
      <c r="G675" s="9" t="s">
        <v>24</v>
      </c>
      <c r="H675" s="8" t="s">
        <v>20</v>
      </c>
      <c r="I675" s="10">
        <v>414380</v>
      </c>
      <c r="J675" s="10">
        <v>5363440</v>
      </c>
      <c r="K675" s="11">
        <v>-41.876330000000003</v>
      </c>
      <c r="L675" s="11">
        <v>145.96816000000001</v>
      </c>
      <c r="M675" s="8" t="s">
        <v>21</v>
      </c>
      <c r="N675" s="8">
        <v>3</v>
      </c>
      <c r="O675" s="8">
        <v>3</v>
      </c>
      <c r="P675" s="8">
        <v>4</v>
      </c>
    </row>
    <row r="676" spans="1:16" x14ac:dyDescent="0.15">
      <c r="A676" s="9" t="s">
        <v>940</v>
      </c>
      <c r="B676" s="9" t="str">
        <f>VLOOKUP(D676,[1]TASMaps!$H$4:$K$269,3,FALSE)</f>
        <v>TL05</v>
      </c>
      <c r="C676" s="9" t="str">
        <f>VLOOKUP(D676,[1]TASMaps!$H$4:$K$269,4,FALSE)</f>
        <v>Murchison</v>
      </c>
      <c r="D676" s="9">
        <v>4038</v>
      </c>
      <c r="E676" s="9" t="s">
        <v>90</v>
      </c>
      <c r="F676" s="9" t="s">
        <v>23</v>
      </c>
      <c r="G676" s="9" t="s">
        <v>142</v>
      </c>
      <c r="H676" s="8" t="s">
        <v>20</v>
      </c>
      <c r="I676" s="10">
        <v>413630</v>
      </c>
      <c r="J676" s="10">
        <v>5389380</v>
      </c>
      <c r="K676" s="11">
        <v>-41.64264</v>
      </c>
      <c r="L676" s="11">
        <v>145.96289999999999</v>
      </c>
      <c r="N676" s="8" t="s">
        <v>37</v>
      </c>
      <c r="P676" s="8">
        <v>1</v>
      </c>
    </row>
    <row r="677" spans="1:16" x14ac:dyDescent="0.15">
      <c r="A677" s="9" t="s">
        <v>941</v>
      </c>
      <c r="B677" s="9" t="str">
        <f>VLOOKUP(D677,[1]TASMaps!$H$4:$K$269,3,FALSE)</f>
        <v>TJ04</v>
      </c>
      <c r="C677" s="9" t="str">
        <f>VLOOKUP(D677,[1]TASMaps!$H$4:$K$269,4,FALSE)</f>
        <v>Rapid River</v>
      </c>
      <c r="D677" s="9">
        <v>3644</v>
      </c>
      <c r="E677" s="9" t="s">
        <v>206</v>
      </c>
      <c r="F677" s="9" t="s">
        <v>23</v>
      </c>
      <c r="G677" s="9" t="s">
        <v>107</v>
      </c>
      <c r="H677" s="8" t="s">
        <v>20</v>
      </c>
      <c r="I677" s="10">
        <v>365270</v>
      </c>
      <c r="J677" s="10">
        <v>5447180</v>
      </c>
      <c r="K677" s="11">
        <v>-41.115499999999997</v>
      </c>
      <c r="L677" s="11">
        <v>145.39523</v>
      </c>
      <c r="N677" s="8" t="s">
        <v>37</v>
      </c>
      <c r="P677" s="8">
        <v>1</v>
      </c>
    </row>
    <row r="678" spans="1:16" x14ac:dyDescent="0.15">
      <c r="A678" s="9" t="s">
        <v>942</v>
      </c>
      <c r="B678" s="9" t="str">
        <f>VLOOKUP(D678,[1]TASMaps!$H$4:$K$269,3,FALSE)</f>
        <v>TP06</v>
      </c>
      <c r="C678" s="9" t="str">
        <f>VLOOKUP(D678,[1]TASMaps!$H$4:$K$269,4,FALSE)</f>
        <v>Denison Range</v>
      </c>
      <c r="D678" s="9">
        <v>4229</v>
      </c>
      <c r="E678" s="9" t="s">
        <v>128</v>
      </c>
      <c r="F678" s="9" t="s">
        <v>18</v>
      </c>
      <c r="G678" s="9" t="s">
        <v>36</v>
      </c>
      <c r="H678" s="8" t="s">
        <v>20</v>
      </c>
      <c r="I678" s="10">
        <v>430130</v>
      </c>
      <c r="J678" s="10">
        <v>5298650</v>
      </c>
      <c r="K678" s="11">
        <v>-42.46134</v>
      </c>
      <c r="L678" s="11">
        <v>146.15018000000001</v>
      </c>
      <c r="N678" s="8" t="s">
        <v>37</v>
      </c>
      <c r="P678" s="8">
        <v>1</v>
      </c>
    </row>
    <row r="679" spans="1:16" x14ac:dyDescent="0.15">
      <c r="A679" s="7" t="s">
        <v>943</v>
      </c>
      <c r="B679" s="9" t="str">
        <f>VLOOKUP(D679,[1]TASMaps!$H$4:$K$269,3,FALSE)</f>
        <v>TN05</v>
      </c>
      <c r="C679" s="9" t="str">
        <f>VLOOKUP(D679,[1]TASMaps!$H$4:$K$269,4,FALSE)</f>
        <v>Frenchmans</v>
      </c>
      <c r="D679" s="9">
        <v>4031</v>
      </c>
      <c r="E679" s="9" t="s">
        <v>337</v>
      </c>
      <c r="F679" s="9" t="s">
        <v>23</v>
      </c>
      <c r="G679" s="9" t="s">
        <v>24</v>
      </c>
      <c r="H679" s="8" t="s">
        <v>20</v>
      </c>
      <c r="I679" s="10">
        <v>406330</v>
      </c>
      <c r="J679" s="10">
        <v>5317880</v>
      </c>
      <c r="K679" s="11">
        <v>-42.285670000000003</v>
      </c>
      <c r="L679" s="11">
        <v>145.86386999999999</v>
      </c>
      <c r="M679" s="8" t="s">
        <v>21</v>
      </c>
      <c r="N679" s="8">
        <v>4</v>
      </c>
      <c r="O679" s="8">
        <v>4</v>
      </c>
      <c r="P679" s="8">
        <v>4</v>
      </c>
    </row>
    <row r="680" spans="1:16" x14ac:dyDescent="0.15">
      <c r="A680" s="7" t="s">
        <v>944</v>
      </c>
      <c r="B680" s="9" t="str">
        <f>VLOOKUP(D680,[1]TASMaps!$H$4:$K$269,3,FALSE)</f>
        <v>TN05</v>
      </c>
      <c r="C680" s="9" t="str">
        <f>VLOOKUP(D680,[1]TASMaps!$H$4:$K$269,4,FALSE)</f>
        <v>Frenchmans</v>
      </c>
      <c r="D680" s="9">
        <v>4031</v>
      </c>
      <c r="E680" s="9" t="s">
        <v>337</v>
      </c>
      <c r="F680" s="9" t="s">
        <v>116</v>
      </c>
      <c r="G680" s="9" t="s">
        <v>24</v>
      </c>
      <c r="H680" s="8" t="s">
        <v>20</v>
      </c>
      <c r="I680" s="10">
        <v>408030</v>
      </c>
      <c r="J680" s="10">
        <v>5317240</v>
      </c>
      <c r="K680" s="11">
        <v>-42.291640000000001</v>
      </c>
      <c r="L680" s="11">
        <v>145.88439</v>
      </c>
      <c r="M680" s="8" t="s">
        <v>21</v>
      </c>
      <c r="N680" s="8" t="s">
        <v>37</v>
      </c>
      <c r="P680" s="8">
        <v>3</v>
      </c>
    </row>
    <row r="681" spans="1:16" x14ac:dyDescent="0.15">
      <c r="A681" s="7" t="s">
        <v>945</v>
      </c>
      <c r="B681" s="9" t="str">
        <f>VLOOKUP(D681,[1]TASMaps!$H$4:$K$269,3,FALSE)</f>
        <v>TP09</v>
      </c>
      <c r="C681" s="9" t="str">
        <f>VLOOKUP(D681,[1]TASMaps!$H$4:$K$269,4,FALSE)</f>
        <v>Prosser</v>
      </c>
      <c r="D681" s="9">
        <v>5427</v>
      </c>
      <c r="E681" s="9" t="s">
        <v>264</v>
      </c>
      <c r="F681" s="9" t="s">
        <v>30</v>
      </c>
      <c r="G681" s="9" t="s">
        <v>62</v>
      </c>
      <c r="H681" s="8" t="s">
        <v>20</v>
      </c>
      <c r="I681" s="10">
        <v>548440</v>
      </c>
      <c r="J681" s="10">
        <v>5276360</v>
      </c>
      <c r="K681" s="11">
        <v>-42.663699999999999</v>
      </c>
      <c r="L681" s="11">
        <v>147.59108000000001</v>
      </c>
      <c r="N681" s="8" t="s">
        <v>37</v>
      </c>
      <c r="P681" s="8">
        <v>1</v>
      </c>
    </row>
    <row r="682" spans="1:16" x14ac:dyDescent="0.15">
      <c r="A682" s="7" t="s">
        <v>946</v>
      </c>
      <c r="B682" s="9" t="str">
        <f>VLOOKUP(D682,[1]TASMaps!$H$4:$K$269,3,FALSE)</f>
        <v>TR06</v>
      </c>
      <c r="C682" s="9" t="str">
        <f>VLOOKUP(D682,[1]TASMaps!$H$4:$K$269,4,FALSE)</f>
        <v>Western Arthur</v>
      </c>
      <c r="D682" s="9">
        <v>4421</v>
      </c>
      <c r="E682" s="9" t="s">
        <v>46</v>
      </c>
      <c r="F682" s="9" t="s">
        <v>30</v>
      </c>
      <c r="G682" s="9" t="s">
        <v>27</v>
      </c>
      <c r="H682" s="8" t="s">
        <v>20</v>
      </c>
      <c r="I682" s="10">
        <v>448570</v>
      </c>
      <c r="J682" s="10">
        <v>5219190</v>
      </c>
      <c r="K682" s="11">
        <v>-43.178310000000003</v>
      </c>
      <c r="L682" s="11">
        <v>146.36718999999999</v>
      </c>
      <c r="N682" s="8" t="s">
        <v>37</v>
      </c>
      <c r="O682" s="8">
        <v>2</v>
      </c>
      <c r="P682" s="8">
        <v>2</v>
      </c>
    </row>
    <row r="683" spans="1:16" x14ac:dyDescent="0.15">
      <c r="A683" s="7" t="s">
        <v>947</v>
      </c>
      <c r="B683" s="9" t="str">
        <f>VLOOKUP(D683,[1]TASMaps!$H$4:$K$269,3,FALSE)</f>
        <v>TR07</v>
      </c>
      <c r="C683" s="9" t="str">
        <f>VLOOKUP(D683,[1]TASMaps!$H$4:$K$269,4,FALSE)</f>
        <v>Hartz</v>
      </c>
      <c r="D683" s="9">
        <v>4622</v>
      </c>
      <c r="E683" s="9" t="s">
        <v>948</v>
      </c>
      <c r="F683" s="9" t="s">
        <v>30</v>
      </c>
      <c r="G683" s="9" t="s">
        <v>27</v>
      </c>
      <c r="H683" s="8" t="s">
        <v>20</v>
      </c>
      <c r="I683" s="10">
        <v>468065</v>
      </c>
      <c r="J683" s="10">
        <v>5221640</v>
      </c>
      <c r="K683" s="11">
        <v>-43.157319999999999</v>
      </c>
      <c r="L683" s="11">
        <v>146.60720000000001</v>
      </c>
      <c r="M683" s="8" t="s">
        <v>21</v>
      </c>
      <c r="N683" s="8">
        <v>3</v>
      </c>
      <c r="O683" s="8">
        <v>3</v>
      </c>
      <c r="P683" s="8">
        <v>3</v>
      </c>
    </row>
    <row r="684" spans="1:16" x14ac:dyDescent="0.15">
      <c r="A684" s="7" t="s">
        <v>949</v>
      </c>
      <c r="B684" s="9" t="str">
        <f>VLOOKUP(D684,[1]TASMaps!$H$4:$K$269,3,FALSE)</f>
        <v>TR06</v>
      </c>
      <c r="C684" s="9" t="str">
        <f>VLOOKUP(D684,[1]TASMaps!$H$4:$K$269,4,FALSE)</f>
        <v>Western Arthur</v>
      </c>
      <c r="D684" s="9">
        <v>4421</v>
      </c>
      <c r="E684" s="9" t="s">
        <v>46</v>
      </c>
      <c r="F684" s="9" t="s">
        <v>30</v>
      </c>
      <c r="G684" s="9" t="s">
        <v>27</v>
      </c>
      <c r="H684" s="8" t="s">
        <v>20</v>
      </c>
      <c r="I684" s="10">
        <v>459220</v>
      </c>
      <c r="J684" s="10">
        <v>5213840</v>
      </c>
      <c r="K684" s="11">
        <v>-43.227130000000002</v>
      </c>
      <c r="L684" s="11">
        <v>146.49782999999999</v>
      </c>
      <c r="N684" s="8" t="s">
        <v>37</v>
      </c>
      <c r="O684" s="8">
        <v>1</v>
      </c>
      <c r="P684" s="8">
        <v>1</v>
      </c>
    </row>
    <row r="685" spans="1:16" x14ac:dyDescent="0.15">
      <c r="A685" s="7" t="s">
        <v>950</v>
      </c>
      <c r="B685" s="9" t="str">
        <f>VLOOKUP(D685,[1]TASMaps!$H$4:$K$269,3,FALSE)</f>
        <v>TN08</v>
      </c>
      <c r="C685" s="9" t="str">
        <f>VLOOKUP(D685,[1]TASMaps!$H$4:$K$269,4,FALSE)</f>
        <v>Tiberias</v>
      </c>
      <c r="D685" s="9">
        <v>5230</v>
      </c>
      <c r="E685" s="9" t="s">
        <v>67</v>
      </c>
      <c r="F685" s="9" t="s">
        <v>18</v>
      </c>
      <c r="G685" s="9" t="s">
        <v>59</v>
      </c>
      <c r="H685" s="8" t="s">
        <v>20</v>
      </c>
      <c r="I685" s="10">
        <v>528770</v>
      </c>
      <c r="J685" s="10">
        <v>5307630</v>
      </c>
      <c r="K685" s="11">
        <v>-42.38308</v>
      </c>
      <c r="L685" s="11">
        <v>147.34949</v>
      </c>
      <c r="N685" s="8" t="s">
        <v>37</v>
      </c>
      <c r="P685" s="8">
        <v>1</v>
      </c>
    </row>
    <row r="686" spans="1:16" x14ac:dyDescent="0.15">
      <c r="A686" s="7" t="s">
        <v>951</v>
      </c>
      <c r="B686" s="9" t="str">
        <f>VLOOKUP(D686,[1]TASMaps!$H$4:$K$269,3,FALSE)</f>
        <v>TL06</v>
      </c>
      <c r="C686" s="9" t="str">
        <f>VLOOKUP(D686,[1]TASMaps!$H$4:$K$269,4,FALSE)</f>
        <v>Jerusalem</v>
      </c>
      <c r="D686" s="9">
        <v>4237</v>
      </c>
      <c r="E686" s="9" t="s">
        <v>335</v>
      </c>
      <c r="F686" s="9" t="s">
        <v>30</v>
      </c>
      <c r="G686" s="9" t="s">
        <v>33</v>
      </c>
      <c r="H686" s="8" t="s">
        <v>20</v>
      </c>
      <c r="I686" s="10">
        <v>427490</v>
      </c>
      <c r="J686" s="10">
        <v>5370360</v>
      </c>
      <c r="K686" s="11">
        <v>-41.81532</v>
      </c>
      <c r="L686" s="11">
        <v>146.12699000000001</v>
      </c>
      <c r="M686" s="8" t="s">
        <v>21</v>
      </c>
      <c r="N686" s="8">
        <v>2</v>
      </c>
      <c r="O686" s="8">
        <v>2</v>
      </c>
      <c r="P686" s="8">
        <v>2</v>
      </c>
    </row>
    <row r="687" spans="1:16" x14ac:dyDescent="0.15">
      <c r="A687" s="7" t="s">
        <v>952</v>
      </c>
      <c r="B687" s="9" t="str">
        <f>VLOOKUP(D687,[1]TASMaps!$H$4:$K$269,3,FALSE)</f>
        <v>TD10</v>
      </c>
      <c r="C687" s="9" t="str">
        <f>VLOOKUP(D687,[1]TASMaps!$H$4:$K$269,4,FALSE)</f>
        <v>Babel</v>
      </c>
      <c r="D687" s="9">
        <v>5955</v>
      </c>
      <c r="E687" s="9" t="s">
        <v>164</v>
      </c>
      <c r="F687" s="9" t="s">
        <v>23</v>
      </c>
      <c r="G687" s="9" t="s">
        <v>151</v>
      </c>
      <c r="H687" s="8" t="s">
        <v>20</v>
      </c>
      <c r="I687" s="10">
        <v>593520</v>
      </c>
      <c r="J687" s="10">
        <v>5559100</v>
      </c>
      <c r="K687" s="11">
        <v>-40.113210000000002</v>
      </c>
      <c r="L687" s="11">
        <v>148.09739999999999</v>
      </c>
      <c r="N687" s="8" t="s">
        <v>37</v>
      </c>
      <c r="P687" s="8">
        <v>1</v>
      </c>
    </row>
    <row r="688" spans="1:16" x14ac:dyDescent="0.15">
      <c r="A688" s="7" t="s">
        <v>953</v>
      </c>
      <c r="B688" s="9" t="str">
        <f>VLOOKUP(D688,[1]TASMaps!$H$4:$K$269,3,FALSE)</f>
        <v>TS07</v>
      </c>
      <c r="C688" s="9" t="str">
        <f>VLOOKUP(D688,[1]TASMaps!$H$4:$K$269,4,FALSE)</f>
        <v>Adamsons</v>
      </c>
      <c r="D688" s="9">
        <v>4618</v>
      </c>
      <c r="E688" s="9" t="s">
        <v>343</v>
      </c>
      <c r="F688" s="9" t="s">
        <v>23</v>
      </c>
      <c r="G688" s="9" t="s">
        <v>27</v>
      </c>
      <c r="H688" s="8" t="s">
        <v>20</v>
      </c>
      <c r="I688" s="10">
        <v>474660</v>
      </c>
      <c r="J688" s="10">
        <v>5182040</v>
      </c>
      <c r="K688" s="11">
        <v>-43.514139999999998</v>
      </c>
      <c r="L688" s="11">
        <v>146.68647999999999</v>
      </c>
      <c r="M688" s="8" t="s">
        <v>21</v>
      </c>
      <c r="N688" s="8">
        <v>5</v>
      </c>
      <c r="O688" s="8">
        <v>5</v>
      </c>
      <c r="P688" s="8">
        <v>6</v>
      </c>
    </row>
    <row r="689" spans="1:16" x14ac:dyDescent="0.15">
      <c r="A689" s="7" t="s">
        <v>954</v>
      </c>
      <c r="B689" s="9" t="str">
        <f>VLOOKUP(D689,[1]TASMaps!$H$4:$K$269,3,FALSE)</f>
        <v>TN05</v>
      </c>
      <c r="C689" s="9" t="str">
        <f>VLOOKUP(D689,[1]TASMaps!$H$4:$K$269,4,FALSE)</f>
        <v>Frenchmans</v>
      </c>
      <c r="D689" s="9">
        <v>4032</v>
      </c>
      <c r="E689" s="9" t="s">
        <v>56</v>
      </c>
      <c r="F689" s="9" t="s">
        <v>18</v>
      </c>
      <c r="G689" s="9" t="s">
        <v>24</v>
      </c>
      <c r="H689" s="8" t="s">
        <v>20</v>
      </c>
      <c r="I689" s="10">
        <v>405360</v>
      </c>
      <c r="J689" s="10">
        <v>5320770</v>
      </c>
      <c r="K689" s="11">
        <v>-42.259529999999998</v>
      </c>
      <c r="L689" s="11">
        <v>145.85257999999999</v>
      </c>
      <c r="N689" s="8" t="s">
        <v>37</v>
      </c>
      <c r="O689" s="8">
        <v>1</v>
      </c>
      <c r="P689" s="8">
        <v>1</v>
      </c>
    </row>
    <row r="690" spans="1:16" x14ac:dyDescent="0.15">
      <c r="A690" s="14" t="s">
        <v>955</v>
      </c>
      <c r="B690" s="9" t="str">
        <f>VLOOKUP(D690,[1]TASMaps!$H$4:$K$269,3,FALSE)</f>
        <v>TL07</v>
      </c>
      <c r="C690" s="9" t="str">
        <f>VLOOKUP(D690,[1]TASMaps!$H$4:$K$269,4,FALSE)</f>
        <v>Breton</v>
      </c>
      <c r="D690" s="9">
        <v>4637</v>
      </c>
      <c r="E690" s="9" t="s">
        <v>35</v>
      </c>
      <c r="F690" s="9" t="s">
        <v>30</v>
      </c>
      <c r="G690" s="9" t="s">
        <v>36</v>
      </c>
      <c r="H690" s="8" t="s">
        <v>20</v>
      </c>
      <c r="I690" s="10">
        <v>475010</v>
      </c>
      <c r="J690" s="10">
        <v>5378080</v>
      </c>
      <c r="K690" s="11">
        <v>-41.748710000000003</v>
      </c>
      <c r="L690" s="11">
        <v>146.69943000000001</v>
      </c>
      <c r="N690" s="8" t="s">
        <v>37</v>
      </c>
      <c r="P690" s="8">
        <v>1</v>
      </c>
    </row>
    <row r="691" spans="1:16" x14ac:dyDescent="0.15">
      <c r="A691" s="7" t="s">
        <v>956</v>
      </c>
      <c r="B691" s="9" t="str">
        <f>VLOOKUP(D691,[1]TASMaps!$H$4:$K$269,3,FALSE)</f>
        <v>TS05</v>
      </c>
      <c r="C691" s="9" t="str">
        <f>VLOOKUP(D691,[1]TASMaps!$H$4:$K$269,4,FALSE)</f>
        <v>Port Davey</v>
      </c>
      <c r="D691" s="9">
        <v>4023</v>
      </c>
      <c r="E691" s="9" t="s">
        <v>550</v>
      </c>
      <c r="F691" s="9" t="s">
        <v>23</v>
      </c>
      <c r="G691" s="9" t="s">
        <v>24</v>
      </c>
      <c r="H691" s="8" t="s">
        <v>20</v>
      </c>
      <c r="I691" s="10">
        <v>413280</v>
      </c>
      <c r="J691" s="10">
        <v>5231060</v>
      </c>
      <c r="K691" s="11">
        <v>-43.068210000000001</v>
      </c>
      <c r="L691" s="11">
        <v>145.93489</v>
      </c>
      <c r="N691" s="8" t="s">
        <v>37</v>
      </c>
      <c r="O691" s="8">
        <v>1</v>
      </c>
      <c r="P691" s="8">
        <v>1</v>
      </c>
    </row>
    <row r="692" spans="1:16" x14ac:dyDescent="0.15">
      <c r="A692" s="9" t="s">
        <v>957</v>
      </c>
      <c r="B692" s="9" t="str">
        <f>VLOOKUP(D692,[1]TASMaps!$H$4:$K$269,3,FALSE)</f>
        <v>TM09</v>
      </c>
      <c r="C692" s="9" t="str">
        <f>VLOOKUP(D692,[1]TASMaps!$H$4:$K$269,4,FALSE)</f>
        <v>Lake Leake</v>
      </c>
      <c r="D692" s="9">
        <v>5435</v>
      </c>
      <c r="E692" s="9" t="s">
        <v>97</v>
      </c>
      <c r="F692" s="9" t="s">
        <v>23</v>
      </c>
      <c r="G692" s="9" t="s">
        <v>78</v>
      </c>
      <c r="H692" s="8" t="s">
        <v>20</v>
      </c>
      <c r="I692" s="10">
        <v>551270</v>
      </c>
      <c r="J692" s="10">
        <v>5353580</v>
      </c>
      <c r="K692" s="11">
        <v>-41.9681</v>
      </c>
      <c r="L692" s="11">
        <v>147.61876000000001</v>
      </c>
      <c r="N692" s="8" t="s">
        <v>37</v>
      </c>
      <c r="P692" s="8">
        <v>1</v>
      </c>
    </row>
    <row r="693" spans="1:16" x14ac:dyDescent="0.15">
      <c r="A693" s="7" t="s">
        <v>958</v>
      </c>
      <c r="B693" s="9" t="str">
        <f>VLOOKUP(D693,[1]TASMaps!$H$4:$K$269,3,FALSE)</f>
        <v>TN06</v>
      </c>
      <c r="C693" s="9" t="str">
        <f>VLOOKUP(D693,[1]TASMaps!$H$4:$K$269,4,FALSE)</f>
        <v>King William</v>
      </c>
      <c r="D693" s="9">
        <v>4232</v>
      </c>
      <c r="E693" s="9" t="s">
        <v>80</v>
      </c>
      <c r="F693" s="9" t="s">
        <v>30</v>
      </c>
      <c r="G693" s="9" t="s">
        <v>36</v>
      </c>
      <c r="H693" s="8" t="s">
        <v>20</v>
      </c>
      <c r="I693" s="10">
        <v>427460</v>
      </c>
      <c r="J693" s="10">
        <v>5324740</v>
      </c>
      <c r="K693" s="11">
        <v>-42.226149999999997</v>
      </c>
      <c r="L693" s="11">
        <v>146.12098</v>
      </c>
      <c r="N693" s="8" t="s">
        <v>37</v>
      </c>
      <c r="O693" s="8">
        <v>1</v>
      </c>
      <c r="P693" s="8">
        <v>1</v>
      </c>
    </row>
    <row r="694" spans="1:16" x14ac:dyDescent="0.15">
      <c r="A694" s="7" t="s">
        <v>959</v>
      </c>
      <c r="B694" s="9" t="str">
        <f>VLOOKUP(D694,[1]TASMaps!$H$4:$K$269,3,FALSE)</f>
        <v>TP08</v>
      </c>
      <c r="C694" s="9" t="str">
        <f>VLOOKUP(D694,[1]TASMaps!$H$4:$K$269,4,FALSE)</f>
        <v>Green Ponds</v>
      </c>
      <c r="D694" s="9">
        <v>5027</v>
      </c>
      <c r="E694" s="9" t="s">
        <v>460</v>
      </c>
      <c r="F694" s="9" t="s">
        <v>23</v>
      </c>
      <c r="G694" s="9" t="s">
        <v>19</v>
      </c>
      <c r="H694" s="8" t="s">
        <v>20</v>
      </c>
      <c r="I694" s="10">
        <v>504720</v>
      </c>
      <c r="J694" s="10">
        <v>5273825</v>
      </c>
      <c r="K694" s="11">
        <v>-42.688040000000001</v>
      </c>
      <c r="L694" s="11">
        <v>147.05761999999999</v>
      </c>
      <c r="N694" s="8" t="s">
        <v>37</v>
      </c>
      <c r="O694" s="8">
        <v>1</v>
      </c>
      <c r="P694" s="8">
        <v>1</v>
      </c>
    </row>
    <row r="695" spans="1:16" x14ac:dyDescent="0.15">
      <c r="A695" s="9" t="s">
        <v>960</v>
      </c>
      <c r="B695" s="9" t="str">
        <f>VLOOKUP(D695,[1]TASMaps!$H$4:$K$269,3,FALSE)</f>
        <v>TN09</v>
      </c>
      <c r="C695" s="9" t="str">
        <f>VLOOKUP(D695,[1]TASMaps!$H$4:$K$269,4,FALSE)</f>
        <v>Swanston</v>
      </c>
      <c r="D695" s="9">
        <v>5432</v>
      </c>
      <c r="E695" s="9" t="s">
        <v>243</v>
      </c>
      <c r="F695" s="9" t="s">
        <v>30</v>
      </c>
      <c r="G695" s="9" t="s">
        <v>59</v>
      </c>
      <c r="H695" s="8" t="s">
        <v>20</v>
      </c>
      <c r="I695" s="10">
        <v>540440</v>
      </c>
      <c r="J695" s="10">
        <v>5321850</v>
      </c>
      <c r="K695" s="11">
        <v>-42.2545</v>
      </c>
      <c r="L695" s="11">
        <v>147.49026000000001</v>
      </c>
      <c r="N695" s="8" t="s">
        <v>37</v>
      </c>
      <c r="P695" s="8">
        <v>1</v>
      </c>
    </row>
    <row r="696" spans="1:16" x14ac:dyDescent="0.15">
      <c r="A696" s="7" t="s">
        <v>961</v>
      </c>
      <c r="B696" s="9" t="str">
        <f>VLOOKUP(D696,[1]TASMaps!$H$4:$K$269,3,FALSE)</f>
        <v>TP06</v>
      </c>
      <c r="C696" s="9" t="str">
        <f>VLOOKUP(D696,[1]TASMaps!$H$4:$K$269,4,FALSE)</f>
        <v>Denison Range</v>
      </c>
      <c r="D696" s="9">
        <v>4228</v>
      </c>
      <c r="E696" s="9" t="s">
        <v>305</v>
      </c>
      <c r="F696" s="9" t="s">
        <v>104</v>
      </c>
      <c r="G696" s="9" t="s">
        <v>19</v>
      </c>
      <c r="H696" s="8" t="s">
        <v>20</v>
      </c>
      <c r="I696" s="10">
        <v>429190</v>
      </c>
      <c r="J696" s="10">
        <v>5281160</v>
      </c>
      <c r="K696" s="11">
        <v>-42.618749999999999</v>
      </c>
      <c r="L696" s="11">
        <v>146.13658000000001</v>
      </c>
      <c r="N696" s="8" t="s">
        <v>37</v>
      </c>
      <c r="O696" s="8">
        <v>2</v>
      </c>
      <c r="P696" s="8">
        <v>2</v>
      </c>
    </row>
    <row r="697" spans="1:16" x14ac:dyDescent="0.15">
      <c r="A697" s="7" t="s">
        <v>962</v>
      </c>
      <c r="B697" s="9" t="str">
        <f>VLOOKUP(D697,[1]TASMaps!$H$4:$K$269,3,FALSE)</f>
        <v>TQ07</v>
      </c>
      <c r="C697" s="9" t="str">
        <f>VLOOKUP(D697,[1]TASMaps!$H$4:$K$269,4,FALSE)</f>
        <v>Snowy Range</v>
      </c>
      <c r="D697" s="9">
        <v>4625</v>
      </c>
      <c r="E697" s="9" t="s">
        <v>684</v>
      </c>
      <c r="F697" s="9" t="s">
        <v>30</v>
      </c>
      <c r="G697" s="9" t="s">
        <v>19</v>
      </c>
      <c r="H697" s="8" t="s">
        <v>20</v>
      </c>
      <c r="I697" s="10">
        <v>472300</v>
      </c>
      <c r="J697" s="10">
        <v>5256090</v>
      </c>
      <c r="K697" s="11">
        <v>-42.847270000000002</v>
      </c>
      <c r="L697" s="11">
        <v>146.661</v>
      </c>
      <c r="N697" s="8" t="s">
        <v>37</v>
      </c>
      <c r="P697" s="8">
        <v>1</v>
      </c>
    </row>
    <row r="698" spans="1:16" x14ac:dyDescent="0.15">
      <c r="A698" s="9" t="s">
        <v>963</v>
      </c>
      <c r="B698" s="9" t="str">
        <f>VLOOKUP(D698,[1]TASMaps!$H$4:$K$269,3,FALSE)</f>
        <v>TJ10</v>
      </c>
      <c r="C698" s="9" t="str">
        <f>VLOOKUP(D698,[1]TASMaps!$H$4:$K$269,4,FALSE)</f>
        <v>Bay of Fires</v>
      </c>
      <c r="D698" s="9">
        <v>5843</v>
      </c>
      <c r="E698" s="9" t="s">
        <v>758</v>
      </c>
      <c r="F698" s="9" t="s">
        <v>30</v>
      </c>
      <c r="G698" s="9" t="s">
        <v>44</v>
      </c>
      <c r="H698" s="8" t="s">
        <v>20</v>
      </c>
      <c r="I698" s="10">
        <v>584640</v>
      </c>
      <c r="J698" s="10">
        <v>5438690</v>
      </c>
      <c r="K698" s="11">
        <v>-41.198729999999998</v>
      </c>
      <c r="L698" s="11">
        <v>148.00943000000001</v>
      </c>
      <c r="N698" s="8" t="s">
        <v>37</v>
      </c>
      <c r="P698" s="8">
        <v>1</v>
      </c>
    </row>
    <row r="699" spans="1:16" x14ac:dyDescent="0.15">
      <c r="A699" s="7" t="s">
        <v>964</v>
      </c>
      <c r="B699" s="9" t="str">
        <f>VLOOKUP(D699,[1]TASMaps!$H$4:$K$269,3,FALSE)</f>
        <v>TJ07</v>
      </c>
      <c r="C699" s="9" t="str">
        <f>VLOOKUP(D699,[1]TASMaps!$H$4:$K$269,4,FALSE)</f>
        <v>Dazzler</v>
      </c>
      <c r="D699" s="9">
        <v>4644</v>
      </c>
      <c r="E699" s="9" t="s">
        <v>92</v>
      </c>
      <c r="F699" s="9" t="s">
        <v>227</v>
      </c>
      <c r="G699" s="9" t="s">
        <v>93</v>
      </c>
      <c r="H699" s="8" t="s">
        <v>20</v>
      </c>
      <c r="I699" s="10">
        <v>472680</v>
      </c>
      <c r="J699" s="10">
        <v>5445900</v>
      </c>
      <c r="K699" s="11">
        <v>-41.137749999999997</v>
      </c>
      <c r="L699" s="11">
        <v>146.67447999999999</v>
      </c>
      <c r="N699" s="8" t="s">
        <v>37</v>
      </c>
      <c r="P699" s="8">
        <v>1</v>
      </c>
    </row>
    <row r="700" spans="1:16" x14ac:dyDescent="0.15">
      <c r="A700" s="7" t="s">
        <v>965</v>
      </c>
      <c r="B700" s="9" t="str">
        <f>VLOOKUP(D700,[1]TASMaps!$H$4:$K$269,3,FALSE)</f>
        <v>TP06</v>
      </c>
      <c r="C700" s="9" t="str">
        <f>VLOOKUP(D700,[1]TASMaps!$H$4:$K$269,4,FALSE)</f>
        <v>Denison Range</v>
      </c>
      <c r="D700" s="9">
        <v>4228</v>
      </c>
      <c r="E700" s="9" t="s">
        <v>305</v>
      </c>
      <c r="F700" s="9" t="s">
        <v>23</v>
      </c>
      <c r="G700" s="9" t="s">
        <v>19</v>
      </c>
      <c r="H700" s="8" t="s">
        <v>20</v>
      </c>
      <c r="I700" s="10">
        <v>433900</v>
      </c>
      <c r="J700" s="10">
        <v>5287420</v>
      </c>
      <c r="K700" s="11">
        <v>-42.56279</v>
      </c>
      <c r="L700" s="11">
        <v>146.19472999999999</v>
      </c>
      <c r="M700" s="8" t="s">
        <v>21</v>
      </c>
      <c r="N700" s="8" t="s">
        <v>37</v>
      </c>
      <c r="O700" s="8">
        <v>2</v>
      </c>
      <c r="P700" s="8">
        <v>3</v>
      </c>
    </row>
    <row r="701" spans="1:16" x14ac:dyDescent="0.15">
      <c r="A701" s="7" t="s">
        <v>966</v>
      </c>
      <c r="B701" s="9" t="str">
        <f>VLOOKUP(D701,[1]TASMaps!$H$4:$K$269,3,FALSE)</f>
        <v>TS06</v>
      </c>
      <c r="C701" s="9" t="str">
        <f>VLOOKUP(D701,[1]TASMaps!$H$4:$K$269,4,FALSE)</f>
        <v>Bathurst</v>
      </c>
      <c r="D701" s="9">
        <v>4420</v>
      </c>
      <c r="E701" s="9" t="s">
        <v>293</v>
      </c>
      <c r="F701" s="9" t="s">
        <v>30</v>
      </c>
      <c r="G701" s="9" t="s">
        <v>27</v>
      </c>
      <c r="H701" s="8" t="s">
        <v>20</v>
      </c>
      <c r="I701" s="10">
        <v>450180</v>
      </c>
      <c r="J701" s="10">
        <v>5206350</v>
      </c>
      <c r="K701" s="11">
        <v>-43.294029999999999</v>
      </c>
      <c r="L701" s="11">
        <v>146.38584</v>
      </c>
      <c r="N701" s="8" t="s">
        <v>37</v>
      </c>
      <c r="O701" s="8">
        <v>2</v>
      </c>
      <c r="P701" s="8">
        <v>2</v>
      </c>
    </row>
    <row r="702" spans="1:16" x14ac:dyDescent="0.15">
      <c r="A702" s="7" t="s">
        <v>967</v>
      </c>
      <c r="B702" s="9" t="str">
        <f>VLOOKUP(D702,[1]TASMaps!$H$4:$K$269,3,FALSE)</f>
        <v>TP09</v>
      </c>
      <c r="C702" s="9" t="str">
        <f>VLOOKUP(D702,[1]TASMaps!$H$4:$K$269,4,FALSE)</f>
        <v>Prosser</v>
      </c>
      <c r="D702" s="9">
        <v>5429</v>
      </c>
      <c r="E702" s="9" t="s">
        <v>457</v>
      </c>
      <c r="F702" s="9" t="s">
        <v>30</v>
      </c>
      <c r="G702" s="9" t="s">
        <v>59</v>
      </c>
      <c r="H702" s="8" t="s">
        <v>20</v>
      </c>
      <c r="I702" s="10">
        <v>543670</v>
      </c>
      <c r="J702" s="10">
        <v>5299510</v>
      </c>
      <c r="K702" s="11">
        <v>-42.455509999999997</v>
      </c>
      <c r="L702" s="11">
        <v>147.53111000000001</v>
      </c>
      <c r="N702" s="8" t="s">
        <v>37</v>
      </c>
      <c r="P702" s="8">
        <v>1</v>
      </c>
    </row>
    <row r="703" spans="1:16" x14ac:dyDescent="0.15">
      <c r="A703" s="7" t="s">
        <v>968</v>
      </c>
      <c r="B703" s="9" t="str">
        <f>VLOOKUP(D703,[1]TASMaps!$H$4:$K$269,3,FALSE)</f>
        <v>TS07</v>
      </c>
      <c r="C703" s="9" t="str">
        <f>VLOOKUP(D703,[1]TASMaps!$H$4:$K$269,4,FALSE)</f>
        <v>Adamsons</v>
      </c>
      <c r="D703" s="9">
        <v>4618</v>
      </c>
      <c r="E703" s="9" t="s">
        <v>343</v>
      </c>
      <c r="F703" s="9" t="s">
        <v>30</v>
      </c>
      <c r="G703" s="9" t="s">
        <v>27</v>
      </c>
      <c r="H703" s="8" t="s">
        <v>20</v>
      </c>
      <c r="I703" s="10">
        <v>467880</v>
      </c>
      <c r="J703" s="10">
        <v>5187860</v>
      </c>
      <c r="K703" s="11">
        <v>-43.461480000000002</v>
      </c>
      <c r="L703" s="11">
        <v>146.60294999999999</v>
      </c>
      <c r="M703" s="8" t="s">
        <v>21</v>
      </c>
      <c r="N703" s="8">
        <v>9</v>
      </c>
      <c r="O703" s="8">
        <v>9</v>
      </c>
      <c r="P703" s="8">
        <v>9</v>
      </c>
    </row>
    <row r="704" spans="1:16" x14ac:dyDescent="0.15">
      <c r="A704" s="7" t="s">
        <v>969</v>
      </c>
      <c r="B704" s="9" t="str">
        <f>VLOOKUP(D704,[1]TASMaps!$H$4:$K$269,3,FALSE)</f>
        <v>TL06</v>
      </c>
      <c r="C704" s="9" t="str">
        <f>VLOOKUP(D704,[1]TASMaps!$H$4:$K$269,4,FALSE)</f>
        <v>Jerusalem</v>
      </c>
      <c r="D704" s="9">
        <v>4236</v>
      </c>
      <c r="E704" s="9" t="s">
        <v>177</v>
      </c>
      <c r="F704" s="9" t="s">
        <v>23</v>
      </c>
      <c r="G704" s="9" t="s">
        <v>33</v>
      </c>
      <c r="H704" s="8" t="s">
        <v>20</v>
      </c>
      <c r="I704" s="10">
        <v>429800</v>
      </c>
      <c r="J704" s="10">
        <v>5366430</v>
      </c>
      <c r="K704" s="11">
        <v>-41.850920000000002</v>
      </c>
      <c r="L704" s="11">
        <v>146.15432999999999</v>
      </c>
      <c r="N704" s="8" t="s">
        <v>37</v>
      </c>
      <c r="P704" s="8">
        <v>1</v>
      </c>
    </row>
    <row r="705" spans="1:16" x14ac:dyDescent="0.15">
      <c r="A705" s="7" t="s">
        <v>970</v>
      </c>
      <c r="B705" s="9" t="str">
        <f>VLOOKUP(D705,[1]TASMaps!$H$4:$K$269,3,FALSE)</f>
        <v>TL06</v>
      </c>
      <c r="C705" s="9" t="str">
        <f>VLOOKUP(D705,[1]TASMaps!$H$4:$K$269,4,FALSE)</f>
        <v>Jerusalem</v>
      </c>
      <c r="D705" s="9">
        <v>4437</v>
      </c>
      <c r="E705" s="9" t="s">
        <v>448</v>
      </c>
      <c r="F705" s="9" t="s">
        <v>23</v>
      </c>
      <c r="G705" s="9" t="s">
        <v>33</v>
      </c>
      <c r="H705" s="8" t="s">
        <v>20</v>
      </c>
      <c r="I705" s="10">
        <v>458300</v>
      </c>
      <c r="J705" s="10">
        <v>5372470</v>
      </c>
      <c r="K705" s="11">
        <v>-41.798540000000003</v>
      </c>
      <c r="L705" s="11">
        <v>146.49806000000001</v>
      </c>
      <c r="N705" s="8" t="s">
        <v>37</v>
      </c>
      <c r="P705" s="8">
        <v>1</v>
      </c>
    </row>
    <row r="706" spans="1:16" x14ac:dyDescent="0.15">
      <c r="A706" s="9" t="s">
        <v>971</v>
      </c>
      <c r="B706" s="9" t="str">
        <f>VLOOKUP(D706,[1]TASMaps!$H$4:$K$269,3,FALSE)</f>
        <v>TQ06</v>
      </c>
      <c r="C706" s="9" t="str">
        <f>VLOOKUP(D706,[1]TASMaps!$H$4:$K$269,4,FALSE)</f>
        <v>Lake Pedder</v>
      </c>
      <c r="D706" s="9">
        <v>4426</v>
      </c>
      <c r="E706" s="9" t="s">
        <v>663</v>
      </c>
      <c r="F706" s="9" t="s">
        <v>30</v>
      </c>
      <c r="G706" s="9" t="s">
        <v>19</v>
      </c>
      <c r="H706" s="8" t="s">
        <v>20</v>
      </c>
      <c r="I706" s="10">
        <v>446670</v>
      </c>
      <c r="J706" s="10">
        <v>5265050</v>
      </c>
      <c r="K706" s="11">
        <v>-42.765230000000003</v>
      </c>
      <c r="L706" s="11">
        <v>146.34818999999999</v>
      </c>
      <c r="N706" s="8" t="s">
        <v>37</v>
      </c>
      <c r="P706" s="8">
        <v>1</v>
      </c>
    </row>
    <row r="707" spans="1:16" x14ac:dyDescent="0.15">
      <c r="A707" s="7" t="s">
        <v>972</v>
      </c>
      <c r="B707" s="9" t="str">
        <f>VLOOKUP(D707,[1]TASMaps!$H$4:$K$269,3,FALSE)</f>
        <v>TP05</v>
      </c>
      <c r="C707" s="9" t="str">
        <f>VLOOKUP(D707,[1]TASMaps!$H$4:$K$269,4,FALSE)</f>
        <v>Princess Range</v>
      </c>
      <c r="D707" s="9">
        <v>4028</v>
      </c>
      <c r="E707" s="9" t="s">
        <v>657</v>
      </c>
      <c r="F707" s="9" t="s">
        <v>23</v>
      </c>
      <c r="G707" s="9" t="s">
        <v>24</v>
      </c>
      <c r="H707" s="8" t="s">
        <v>20</v>
      </c>
      <c r="I707" s="10">
        <v>416740</v>
      </c>
      <c r="J707" s="10">
        <v>5288140</v>
      </c>
      <c r="K707" s="11">
        <v>-42.554650000000002</v>
      </c>
      <c r="L707" s="11">
        <v>145.98580999999999</v>
      </c>
      <c r="N707" s="8" t="s">
        <v>37</v>
      </c>
      <c r="O707" s="8">
        <v>4</v>
      </c>
      <c r="P707" s="8">
        <v>4</v>
      </c>
    </row>
    <row r="708" spans="1:16" x14ac:dyDescent="0.15">
      <c r="A708" s="7" t="s">
        <v>973</v>
      </c>
      <c r="B708" s="9" t="str">
        <f>VLOOKUP(D708,[1]TASMaps!$H$4:$K$269,3,FALSE)</f>
        <v>TP05</v>
      </c>
      <c r="C708" s="9" t="str">
        <f>VLOOKUP(D708,[1]TASMaps!$H$4:$K$269,4,FALSE)</f>
        <v>Princess Range</v>
      </c>
      <c r="D708" s="9">
        <v>4028</v>
      </c>
      <c r="E708" s="9" t="s">
        <v>657</v>
      </c>
      <c r="F708" s="9" t="s">
        <v>104</v>
      </c>
      <c r="G708" s="9" t="s">
        <v>24</v>
      </c>
      <c r="H708" s="8" t="s">
        <v>20</v>
      </c>
      <c r="I708" s="10">
        <v>403710</v>
      </c>
      <c r="J708" s="10">
        <v>5285340</v>
      </c>
      <c r="K708" s="11">
        <v>-42.57835</v>
      </c>
      <c r="L708" s="11">
        <v>145.82665</v>
      </c>
      <c r="N708" s="8" t="s">
        <v>37</v>
      </c>
      <c r="O708" s="8">
        <v>2</v>
      </c>
      <c r="P708" s="8">
        <v>2</v>
      </c>
    </row>
    <row r="709" spans="1:16" x14ac:dyDescent="0.15">
      <c r="A709" s="7" t="s">
        <v>974</v>
      </c>
      <c r="B709" s="9" t="str">
        <f>VLOOKUP(D709,[1]TASMaps!$H$4:$K$269,3,FALSE)</f>
        <v>TR06</v>
      </c>
      <c r="C709" s="9" t="str">
        <f>VLOOKUP(D709,[1]TASMaps!$H$4:$K$269,4,FALSE)</f>
        <v>Western Arthur</v>
      </c>
      <c r="D709" s="9">
        <v>4222</v>
      </c>
      <c r="E709" s="9" t="s">
        <v>277</v>
      </c>
      <c r="F709" s="9" t="s">
        <v>23</v>
      </c>
      <c r="G709" s="9" t="s">
        <v>27</v>
      </c>
      <c r="H709" s="8" t="s">
        <v>20</v>
      </c>
      <c r="I709" s="10">
        <v>439840</v>
      </c>
      <c r="J709" s="10">
        <v>5223670</v>
      </c>
      <c r="K709" s="11">
        <v>-43.137320000000003</v>
      </c>
      <c r="L709" s="11">
        <v>146.26026999999999</v>
      </c>
      <c r="N709" s="8">
        <v>3</v>
      </c>
      <c r="O709" s="8">
        <v>3</v>
      </c>
      <c r="P709" s="8">
        <v>3</v>
      </c>
    </row>
    <row r="710" spans="1:16" x14ac:dyDescent="0.15">
      <c r="A710" s="7" t="s">
        <v>975</v>
      </c>
      <c r="B710" s="9" t="str">
        <f>VLOOKUP(D710,[1]TASMaps!$H$4:$K$269,3,FALSE)</f>
        <v>TL07</v>
      </c>
      <c r="C710" s="9" t="str">
        <f>VLOOKUP(D710,[1]TASMaps!$H$4:$K$269,4,FALSE)</f>
        <v>Breton</v>
      </c>
      <c r="D710" s="9">
        <v>4638</v>
      </c>
      <c r="E710" s="9" t="s">
        <v>73</v>
      </c>
      <c r="F710" s="9" t="s">
        <v>135</v>
      </c>
      <c r="G710" s="9" t="s">
        <v>36</v>
      </c>
      <c r="H710" s="8" t="s">
        <v>20</v>
      </c>
      <c r="I710" s="10">
        <v>476700</v>
      </c>
      <c r="J710" s="10">
        <v>5381970</v>
      </c>
      <c r="K710" s="11">
        <v>-41.713720000000002</v>
      </c>
      <c r="L710" s="11">
        <v>146.71991</v>
      </c>
      <c r="N710" s="8" t="s">
        <v>37</v>
      </c>
      <c r="O710" s="8">
        <v>1</v>
      </c>
      <c r="P710" s="8">
        <v>1</v>
      </c>
    </row>
    <row r="711" spans="1:16" x14ac:dyDescent="0.15">
      <c r="A711" s="7" t="s">
        <v>976</v>
      </c>
      <c r="B711" s="9" t="str">
        <f>VLOOKUP(D711,[1]TASMaps!$H$4:$K$269,3,FALSE)</f>
        <v>TM05</v>
      </c>
      <c r="C711" s="9" t="str">
        <f>VLOOKUP(D711,[1]TASMaps!$H$4:$K$269,4,FALSE)</f>
        <v>Eldon</v>
      </c>
      <c r="D711" s="9">
        <v>3833</v>
      </c>
      <c r="E711" s="9" t="s">
        <v>473</v>
      </c>
      <c r="F711" s="9" t="s">
        <v>23</v>
      </c>
      <c r="G711" s="9" t="s">
        <v>24</v>
      </c>
      <c r="H711" s="8" t="s">
        <v>20</v>
      </c>
      <c r="I711" s="10">
        <v>382720</v>
      </c>
      <c r="J711" s="10">
        <v>5330530</v>
      </c>
      <c r="K711" s="11">
        <v>-42.168579999999999</v>
      </c>
      <c r="L711" s="11">
        <v>145.58014</v>
      </c>
      <c r="N711" s="8" t="s">
        <v>37</v>
      </c>
      <c r="O711" s="8">
        <v>1</v>
      </c>
      <c r="P711" s="8">
        <v>1</v>
      </c>
    </row>
    <row r="712" spans="1:16" x14ac:dyDescent="0.15">
      <c r="A712" s="7" t="s">
        <v>977</v>
      </c>
      <c r="B712" s="9" t="str">
        <f>VLOOKUP(D712,[1]TASMaps!$H$4:$K$269,3,FALSE)</f>
        <v>TS05</v>
      </c>
      <c r="C712" s="9" t="str">
        <f>VLOOKUP(D712,[1]TASMaps!$H$4:$K$269,4,FALSE)</f>
        <v>Port Davey</v>
      </c>
      <c r="D712" s="9">
        <v>4023</v>
      </c>
      <c r="E712" s="9" t="s">
        <v>550</v>
      </c>
      <c r="F712" s="9" t="s">
        <v>104</v>
      </c>
      <c r="G712" s="9" t="s">
        <v>24</v>
      </c>
      <c r="H712" s="8" t="s">
        <v>20</v>
      </c>
      <c r="I712" s="10">
        <v>409540</v>
      </c>
      <c r="J712" s="10">
        <v>5231700</v>
      </c>
      <c r="K712" s="11">
        <v>-43.062010000000001</v>
      </c>
      <c r="L712" s="11">
        <v>145.88906</v>
      </c>
      <c r="N712" s="8">
        <v>2</v>
      </c>
      <c r="O712" s="8">
        <v>2</v>
      </c>
      <c r="P712" s="8">
        <v>2</v>
      </c>
    </row>
    <row r="713" spans="1:16" x14ac:dyDescent="0.15">
      <c r="A713" s="9" t="s">
        <v>978</v>
      </c>
      <c r="B713" s="9" t="str">
        <f>VLOOKUP(D713,[1]TASMaps!$H$4:$K$269,3,FALSE)</f>
        <v>TN05</v>
      </c>
      <c r="C713" s="9" t="str">
        <f>VLOOKUP(D713,[1]TASMaps!$H$4:$K$269,4,FALSE)</f>
        <v>Frenchmans</v>
      </c>
      <c r="D713" s="9">
        <v>3830</v>
      </c>
      <c r="E713" s="9" t="s">
        <v>375</v>
      </c>
      <c r="F713" s="9" t="s">
        <v>30</v>
      </c>
      <c r="G713" s="9" t="s">
        <v>24</v>
      </c>
      <c r="H713" s="8" t="s">
        <v>20</v>
      </c>
      <c r="I713" s="10">
        <v>396720</v>
      </c>
      <c r="J713" s="10">
        <v>5307100</v>
      </c>
      <c r="K713" s="11">
        <v>-42.381520000000002</v>
      </c>
      <c r="L713" s="11">
        <v>145.74540999999999</v>
      </c>
      <c r="N713" s="8" t="s">
        <v>37</v>
      </c>
      <c r="P713" s="8">
        <v>1</v>
      </c>
    </row>
    <row r="714" spans="1:16" x14ac:dyDescent="0.15">
      <c r="A714" s="7" t="s">
        <v>979</v>
      </c>
      <c r="B714" s="9" t="str">
        <f>VLOOKUP(D714,[1]TASMaps!$H$4:$K$269,3,FALSE)</f>
        <v>TK05</v>
      </c>
      <c r="C714" s="9" t="str">
        <f>VLOOKUP(D714,[1]TASMaps!$H$4:$K$269,4,FALSE)</f>
        <v>Black Bluff</v>
      </c>
      <c r="D714" s="9">
        <v>4040</v>
      </c>
      <c r="E714" s="9" t="s">
        <v>112</v>
      </c>
      <c r="F714" s="9" t="s">
        <v>30</v>
      </c>
      <c r="G714" s="9" t="s">
        <v>142</v>
      </c>
      <c r="H714" s="8" t="s">
        <v>20</v>
      </c>
      <c r="I714" s="10">
        <v>406660</v>
      </c>
      <c r="J714" s="10">
        <v>5402850</v>
      </c>
      <c r="K714" s="11">
        <v>-41.52055</v>
      </c>
      <c r="L714" s="11">
        <v>145.88131000000001</v>
      </c>
      <c r="N714" s="8" t="s">
        <v>37</v>
      </c>
      <c r="P714" s="8">
        <v>1</v>
      </c>
    </row>
    <row r="715" spans="1:16" x14ac:dyDescent="0.15">
      <c r="A715" s="7" t="s">
        <v>980</v>
      </c>
      <c r="B715" s="9" t="str">
        <f>VLOOKUP(D715,[1]TASMaps!$H$4:$K$269,3,FALSE)</f>
        <v>TP09</v>
      </c>
      <c r="C715" s="9" t="str">
        <f>VLOOKUP(D715,[1]TASMaps!$H$4:$K$269,4,FALSE)</f>
        <v>Prosser</v>
      </c>
      <c r="D715" s="9">
        <v>5627</v>
      </c>
      <c r="E715" s="9" t="s">
        <v>981</v>
      </c>
      <c r="F715" s="9" t="s">
        <v>18</v>
      </c>
      <c r="G715" s="9" t="s">
        <v>62</v>
      </c>
      <c r="H715" s="8" t="s">
        <v>20</v>
      </c>
      <c r="I715" s="10">
        <v>567590</v>
      </c>
      <c r="J715" s="10">
        <v>5275175</v>
      </c>
      <c r="K715" s="11">
        <v>-42.672930000000001</v>
      </c>
      <c r="L715" s="11">
        <v>147.82488000000001</v>
      </c>
      <c r="N715" s="8" t="s">
        <v>37</v>
      </c>
      <c r="O715" s="8">
        <v>1</v>
      </c>
      <c r="P715" s="8">
        <v>1</v>
      </c>
    </row>
    <row r="716" spans="1:16" x14ac:dyDescent="0.15">
      <c r="A716" s="7" t="s">
        <v>982</v>
      </c>
      <c r="B716" s="9" t="str">
        <f>VLOOKUP(D716,[1]TASMaps!$H$4:$K$269,3,FALSE)</f>
        <v>TL05</v>
      </c>
      <c r="C716" s="9" t="str">
        <f>VLOOKUP(D716,[1]TASMaps!$H$4:$K$269,4,FALSE)</f>
        <v>Murchison</v>
      </c>
      <c r="D716" s="9">
        <v>4036</v>
      </c>
      <c r="E716" s="9" t="s">
        <v>29</v>
      </c>
      <c r="F716" s="9" t="s">
        <v>23</v>
      </c>
      <c r="G716" s="9" t="s">
        <v>24</v>
      </c>
      <c r="H716" s="8" t="s">
        <v>20</v>
      </c>
      <c r="I716" s="10">
        <v>410870</v>
      </c>
      <c r="J716" s="10">
        <v>5369830</v>
      </c>
      <c r="K716" s="11">
        <v>-41.818399999999997</v>
      </c>
      <c r="L716" s="11">
        <v>145.92683</v>
      </c>
      <c r="M716" s="8" t="s">
        <v>21</v>
      </c>
      <c r="N716" s="8" t="s">
        <v>37</v>
      </c>
      <c r="O716" s="8">
        <v>1</v>
      </c>
      <c r="P716" s="8">
        <v>1</v>
      </c>
    </row>
    <row r="717" spans="1:16" x14ac:dyDescent="0.15">
      <c r="A717" s="7" t="s">
        <v>983</v>
      </c>
      <c r="B717" s="9" t="str">
        <f>VLOOKUP(D717,[1]TASMaps!$H$4:$K$269,3,FALSE)</f>
        <v>TS06</v>
      </c>
      <c r="C717" s="9" t="str">
        <f>VLOOKUP(D717,[1]TASMaps!$H$4:$K$269,4,FALSE)</f>
        <v>Bathurst</v>
      </c>
      <c r="D717" s="9">
        <v>4419</v>
      </c>
      <c r="E717" s="9" t="s">
        <v>984</v>
      </c>
      <c r="F717" s="9" t="s">
        <v>18</v>
      </c>
      <c r="G717" s="9" t="s">
        <v>27</v>
      </c>
      <c r="H717" s="8" t="s">
        <v>20</v>
      </c>
      <c r="I717" s="10">
        <v>458320</v>
      </c>
      <c r="J717" s="10">
        <v>5192640</v>
      </c>
      <c r="K717" s="11">
        <v>-43.417969999999997</v>
      </c>
      <c r="L717" s="11">
        <v>146.48514</v>
      </c>
      <c r="N717" s="8" t="s">
        <v>37</v>
      </c>
      <c r="O717" s="8">
        <v>1</v>
      </c>
      <c r="P717" s="8">
        <v>1</v>
      </c>
    </row>
    <row r="718" spans="1:16" x14ac:dyDescent="0.15">
      <c r="A718" s="7" t="s">
        <v>985</v>
      </c>
      <c r="B718" s="9" t="str">
        <f>VLOOKUP(D718,[1]TASMaps!$H$4:$K$269,3,FALSE)</f>
        <v>TL10</v>
      </c>
      <c r="C718" s="9" t="str">
        <f>VLOOKUP(D718,[1]TASMaps!$H$4:$K$269,4,FALSE)</f>
        <v>Douglas River</v>
      </c>
      <c r="D718" s="9">
        <v>5837</v>
      </c>
      <c r="E718" s="9" t="s">
        <v>903</v>
      </c>
      <c r="F718" s="9" t="s">
        <v>30</v>
      </c>
      <c r="G718" s="9" t="s">
        <v>78</v>
      </c>
      <c r="H718" s="8" t="s">
        <v>20</v>
      </c>
      <c r="I718" s="10">
        <v>593090</v>
      </c>
      <c r="J718" s="10">
        <v>5377350</v>
      </c>
      <c r="K718" s="11">
        <v>-41.750219999999999</v>
      </c>
      <c r="L718" s="11">
        <v>148.11966000000001</v>
      </c>
      <c r="N718" s="8" t="s">
        <v>37</v>
      </c>
      <c r="P718" s="8">
        <v>1</v>
      </c>
    </row>
    <row r="719" spans="1:16" x14ac:dyDescent="0.15">
      <c r="A719" s="9" t="s">
        <v>986</v>
      </c>
      <c r="B719" s="9" t="str">
        <f>VLOOKUP(D719,[1]TASMaps!$H$4:$K$269,3,FALSE)</f>
        <v>TL10</v>
      </c>
      <c r="C719" s="9" t="str">
        <f>VLOOKUP(D719,[1]TASMaps!$H$4:$K$269,4,FALSE)</f>
        <v>Douglas River</v>
      </c>
      <c r="D719" s="9">
        <v>5837</v>
      </c>
      <c r="E719" s="9" t="s">
        <v>903</v>
      </c>
      <c r="F719" s="9" t="s">
        <v>30</v>
      </c>
      <c r="G719" s="9" t="s">
        <v>78</v>
      </c>
      <c r="H719" s="8" t="s">
        <v>20</v>
      </c>
      <c r="I719" s="10">
        <v>590190</v>
      </c>
      <c r="J719" s="10">
        <v>5378030</v>
      </c>
      <c r="K719" s="11">
        <v>-41.744430000000001</v>
      </c>
      <c r="L719" s="11">
        <v>148.08467999999999</v>
      </c>
      <c r="N719" s="8" t="s">
        <v>37</v>
      </c>
      <c r="P719" s="8">
        <v>1</v>
      </c>
    </row>
    <row r="720" spans="1:16" x14ac:dyDescent="0.15">
      <c r="A720" s="7" t="s">
        <v>987</v>
      </c>
      <c r="B720" s="9" t="str">
        <f>VLOOKUP(D720,[1]TASMaps!$H$4:$K$269,3,FALSE)</f>
        <v>TM05</v>
      </c>
      <c r="C720" s="9" t="str">
        <f>VLOOKUP(D720,[1]TASMaps!$H$4:$K$269,4,FALSE)</f>
        <v>Eldon</v>
      </c>
      <c r="D720" s="9">
        <v>4034</v>
      </c>
      <c r="E720" s="9" t="s">
        <v>270</v>
      </c>
      <c r="F720" s="9" t="s">
        <v>30</v>
      </c>
      <c r="G720" s="9" t="s">
        <v>24</v>
      </c>
      <c r="H720" s="8" t="s">
        <v>20</v>
      </c>
      <c r="I720" s="10">
        <v>412240</v>
      </c>
      <c r="J720" s="10">
        <v>5344400</v>
      </c>
      <c r="K720" s="11">
        <v>-42.047550000000001</v>
      </c>
      <c r="L720" s="11">
        <v>145.93953999999999</v>
      </c>
      <c r="M720" s="8" t="s">
        <v>21</v>
      </c>
      <c r="N720" s="8" t="s">
        <v>37</v>
      </c>
      <c r="O720" s="8">
        <v>2</v>
      </c>
      <c r="P720" s="8">
        <v>2</v>
      </c>
    </row>
    <row r="721" spans="1:16" x14ac:dyDescent="0.15">
      <c r="A721" s="7" t="s">
        <v>988</v>
      </c>
      <c r="B721" s="9" t="str">
        <f>VLOOKUP(D721,[1]TASMaps!$H$4:$K$269,3,FALSE)</f>
        <v>TN05</v>
      </c>
      <c r="C721" s="9" t="str">
        <f>VLOOKUP(D721,[1]TASMaps!$H$4:$K$269,4,FALSE)</f>
        <v>Frenchmans</v>
      </c>
      <c r="D721" s="9">
        <v>3832</v>
      </c>
      <c r="E721" s="9" t="s">
        <v>235</v>
      </c>
      <c r="F721" s="9" t="s">
        <v>23</v>
      </c>
      <c r="G721" s="9" t="s">
        <v>24</v>
      </c>
      <c r="H721" s="8" t="s">
        <v>20</v>
      </c>
      <c r="I721" s="10">
        <v>383120</v>
      </c>
      <c r="J721" s="10">
        <v>5327920</v>
      </c>
      <c r="K721" s="11">
        <v>-42.192140000000002</v>
      </c>
      <c r="L721" s="11">
        <v>145.58445</v>
      </c>
      <c r="N721" s="8" t="s">
        <v>37</v>
      </c>
      <c r="O721" s="8">
        <v>1</v>
      </c>
      <c r="P721" s="8">
        <v>1</v>
      </c>
    </row>
    <row r="722" spans="1:16" x14ac:dyDescent="0.15">
      <c r="A722" s="9" t="s">
        <v>989</v>
      </c>
      <c r="B722" s="9" t="str">
        <f>VLOOKUP(D722,[1]TASMaps!$H$4:$K$269,3,FALSE)</f>
        <v>TK05</v>
      </c>
      <c r="C722" s="9" t="str">
        <f>VLOOKUP(D722,[1]TASMaps!$H$4:$K$269,4,FALSE)</f>
        <v>Black Bluff</v>
      </c>
      <c r="D722" s="9">
        <v>4039</v>
      </c>
      <c r="E722" s="9" t="s">
        <v>99</v>
      </c>
      <c r="F722" s="9" t="s">
        <v>227</v>
      </c>
      <c r="G722" s="9" t="s">
        <v>142</v>
      </c>
      <c r="H722" s="8" t="s">
        <v>20</v>
      </c>
      <c r="I722" s="10">
        <v>411590</v>
      </c>
      <c r="J722" s="10">
        <v>5393800</v>
      </c>
      <c r="K722" s="11">
        <v>-41.602609999999999</v>
      </c>
      <c r="L722" s="11">
        <v>145.93906000000001</v>
      </c>
      <c r="N722" s="8" t="s">
        <v>37</v>
      </c>
      <c r="P722" s="8">
        <v>1</v>
      </c>
    </row>
    <row r="723" spans="1:16" x14ac:dyDescent="0.15">
      <c r="A723" s="7" t="s">
        <v>73</v>
      </c>
      <c r="B723" s="9" t="str">
        <f>VLOOKUP(D723,[1]TASMaps!$H$4:$K$269,3,FALSE)</f>
        <v>TL07</v>
      </c>
      <c r="C723" s="9" t="str">
        <f>VLOOKUP(D723,[1]TASMaps!$H$4:$K$269,4,FALSE)</f>
        <v>Breton</v>
      </c>
      <c r="D723" s="9">
        <v>4638</v>
      </c>
      <c r="E723" s="9" t="s">
        <v>73</v>
      </c>
      <c r="F723" s="9" t="s">
        <v>30</v>
      </c>
      <c r="G723" s="9" t="s">
        <v>33</v>
      </c>
      <c r="H723" s="8" t="s">
        <v>20</v>
      </c>
      <c r="I723" s="10">
        <v>474790</v>
      </c>
      <c r="J723" s="10">
        <v>5388730</v>
      </c>
      <c r="K723" s="11">
        <v>-41.65278</v>
      </c>
      <c r="L723" s="11">
        <v>146.69723999999999</v>
      </c>
      <c r="M723" s="8" t="s">
        <v>21</v>
      </c>
      <c r="N723" s="8">
        <v>2</v>
      </c>
      <c r="O723" s="8">
        <v>2</v>
      </c>
      <c r="P723" s="8">
        <v>2</v>
      </c>
    </row>
    <row r="724" spans="1:16" x14ac:dyDescent="0.15">
      <c r="A724" s="9" t="s">
        <v>990</v>
      </c>
      <c r="B724" s="9" t="str">
        <f>VLOOKUP(D724,[1]TASMaps!$H$4:$K$269,3,FALSE)</f>
        <v>TL05</v>
      </c>
      <c r="C724" s="9" t="str">
        <f>VLOOKUP(D724,[1]TASMaps!$H$4:$K$269,4,FALSE)</f>
        <v>Murchison</v>
      </c>
      <c r="D724" s="9">
        <v>3838</v>
      </c>
      <c r="E724" s="9" t="s">
        <v>202</v>
      </c>
      <c r="F724" s="9" t="s">
        <v>30</v>
      </c>
      <c r="G724" s="9" t="s">
        <v>24</v>
      </c>
      <c r="H724" s="8" t="s">
        <v>20</v>
      </c>
      <c r="I724" s="10">
        <v>398020</v>
      </c>
      <c r="J724" s="10">
        <v>5381170</v>
      </c>
      <c r="K724" s="11">
        <v>-41.714730000000003</v>
      </c>
      <c r="L724" s="11">
        <v>145.77409</v>
      </c>
      <c r="N724" s="8" t="s">
        <v>37</v>
      </c>
      <c r="P724" s="8">
        <v>1</v>
      </c>
    </row>
    <row r="725" spans="1:16" x14ac:dyDescent="0.15">
      <c r="A725" s="7" t="s">
        <v>991</v>
      </c>
      <c r="B725" s="9" t="str">
        <f>VLOOKUP(D725,[1]TASMaps!$H$4:$K$269,3,FALSE)</f>
        <v>TP08</v>
      </c>
      <c r="C725" s="9" t="str">
        <f>VLOOKUP(D725,[1]TASMaps!$H$4:$K$269,4,FALSE)</f>
        <v>Green Ponds</v>
      </c>
      <c r="D725" s="9">
        <v>5228</v>
      </c>
      <c r="E725" s="9" t="s">
        <v>58</v>
      </c>
      <c r="F725" s="9" t="s">
        <v>30</v>
      </c>
      <c r="G725" s="9" t="s">
        <v>59</v>
      </c>
      <c r="H725" s="8" t="s">
        <v>20</v>
      </c>
      <c r="I725" s="10">
        <v>522920</v>
      </c>
      <c r="J725" s="10">
        <v>5289540</v>
      </c>
      <c r="K725" s="11">
        <v>-42.546190000000003</v>
      </c>
      <c r="L725" s="11">
        <v>147.27914999999999</v>
      </c>
      <c r="N725" s="8" t="s">
        <v>37</v>
      </c>
      <c r="O725" s="8">
        <v>1</v>
      </c>
      <c r="P725" s="8">
        <v>1</v>
      </c>
    </row>
    <row r="726" spans="1:16" x14ac:dyDescent="0.15">
      <c r="A726" s="7" t="s">
        <v>992</v>
      </c>
      <c r="B726" s="9" t="str">
        <f>VLOOKUP(D726,[1]TASMaps!$H$4:$K$269,3,FALSE)</f>
        <v>TM09</v>
      </c>
      <c r="C726" s="9" t="str">
        <f>VLOOKUP(D726,[1]TASMaps!$H$4:$K$269,4,FALSE)</f>
        <v>Lake Leake</v>
      </c>
      <c r="D726" s="9">
        <v>5433</v>
      </c>
      <c r="E726" s="9" t="s">
        <v>993</v>
      </c>
      <c r="F726" s="9" t="s">
        <v>30</v>
      </c>
      <c r="G726" s="9" t="s">
        <v>78</v>
      </c>
      <c r="H726" s="8" t="s">
        <v>20</v>
      </c>
      <c r="I726" s="10">
        <v>554560</v>
      </c>
      <c r="J726" s="10">
        <v>5333490</v>
      </c>
      <c r="K726" s="11">
        <v>-42.148809999999997</v>
      </c>
      <c r="L726" s="11">
        <v>147.66033999999999</v>
      </c>
      <c r="N726" s="8" t="s">
        <v>37</v>
      </c>
      <c r="P726" s="8">
        <v>1</v>
      </c>
    </row>
    <row r="727" spans="1:16" x14ac:dyDescent="0.15">
      <c r="A727" s="7" t="s">
        <v>994</v>
      </c>
      <c r="B727" s="9" t="str">
        <f>VLOOKUP(D727,[1]TASMaps!$H$4:$K$269,3,FALSE)</f>
        <v>TK09</v>
      </c>
      <c r="C727" s="9" t="str">
        <f>VLOOKUP(D727,[1]TASMaps!$H$4:$K$269,4,FALSE)</f>
        <v>Ben Lomond</v>
      </c>
      <c r="D727" s="9">
        <v>5439</v>
      </c>
      <c r="E727" s="9" t="s">
        <v>95</v>
      </c>
      <c r="F727" s="9" t="s">
        <v>23</v>
      </c>
      <c r="G727" s="9" t="s">
        <v>78</v>
      </c>
      <c r="H727" s="8" t="s">
        <v>20</v>
      </c>
      <c r="I727" s="10">
        <v>548840</v>
      </c>
      <c r="J727" s="10">
        <v>5399485</v>
      </c>
      <c r="K727" s="11">
        <v>-41.554810000000003</v>
      </c>
      <c r="L727" s="11">
        <v>147.58565999999999</v>
      </c>
      <c r="M727" s="8" t="s">
        <v>21</v>
      </c>
      <c r="N727" s="8" t="s">
        <v>37</v>
      </c>
      <c r="O727" s="8">
        <v>2</v>
      </c>
      <c r="P727" s="8">
        <v>2</v>
      </c>
    </row>
    <row r="728" spans="1:16" x14ac:dyDescent="0.15">
      <c r="A728" s="7" t="s">
        <v>995</v>
      </c>
      <c r="B728" s="9" t="str">
        <f>VLOOKUP(D728,[1]TASMaps!$H$4:$K$269,3,FALSE)</f>
        <v>TQ06</v>
      </c>
      <c r="C728" s="9" t="str">
        <f>VLOOKUP(D728,[1]TASMaps!$H$4:$K$269,4,FALSE)</f>
        <v>Lake Pedder</v>
      </c>
      <c r="D728" s="9">
        <v>4426</v>
      </c>
      <c r="E728" s="9" t="s">
        <v>663</v>
      </c>
      <c r="F728" s="9" t="s">
        <v>104</v>
      </c>
      <c r="G728" s="9" t="s">
        <v>19</v>
      </c>
      <c r="H728" s="8" t="s">
        <v>20</v>
      </c>
      <c r="I728" s="10">
        <v>443550</v>
      </c>
      <c r="J728" s="10">
        <v>5264670</v>
      </c>
      <c r="K728" s="11">
        <v>-42.768419999999999</v>
      </c>
      <c r="L728" s="11">
        <v>146.31002000000001</v>
      </c>
      <c r="N728" s="8" t="s">
        <v>37</v>
      </c>
      <c r="O728" s="8">
        <v>1</v>
      </c>
      <c r="P728" s="8">
        <v>1</v>
      </c>
    </row>
    <row r="729" spans="1:16" x14ac:dyDescent="0.15">
      <c r="A729" s="7" t="s">
        <v>996</v>
      </c>
      <c r="B729" s="9" t="str">
        <f>VLOOKUP(D729,[1]TASMaps!$H$4:$K$269,3,FALSE)</f>
        <v>TM05</v>
      </c>
      <c r="C729" s="9" t="str">
        <f>VLOOKUP(D729,[1]TASMaps!$H$4:$K$269,4,FALSE)</f>
        <v>Eldon</v>
      </c>
      <c r="D729" s="9">
        <v>3833</v>
      </c>
      <c r="E729" s="9" t="s">
        <v>473</v>
      </c>
      <c r="F729" s="9" t="s">
        <v>104</v>
      </c>
      <c r="G729" s="9" t="s">
        <v>24</v>
      </c>
      <c r="H729" s="8" t="s">
        <v>20</v>
      </c>
      <c r="I729" s="10">
        <v>399380</v>
      </c>
      <c r="J729" s="10">
        <v>5334390</v>
      </c>
      <c r="K729" s="11">
        <v>-42.136150000000001</v>
      </c>
      <c r="L729" s="11">
        <v>145.78245000000001</v>
      </c>
      <c r="N729" s="8" t="s">
        <v>37</v>
      </c>
      <c r="O729" s="8">
        <v>1</v>
      </c>
      <c r="P729" s="8">
        <v>1</v>
      </c>
    </row>
    <row r="730" spans="1:16" x14ac:dyDescent="0.15">
      <c r="A730" s="7" t="s">
        <v>997</v>
      </c>
      <c r="B730" s="9" t="str">
        <f>VLOOKUP(D730,[1]TASMaps!$H$4:$K$269,3,FALSE)</f>
        <v>TS06</v>
      </c>
      <c r="C730" s="9" t="str">
        <f>VLOOKUP(D730,[1]TASMaps!$H$4:$K$269,4,FALSE)</f>
        <v>Bathurst</v>
      </c>
      <c r="D730" s="9">
        <v>4219</v>
      </c>
      <c r="E730" s="9" t="s">
        <v>400</v>
      </c>
      <c r="F730" s="9" t="s">
        <v>30</v>
      </c>
      <c r="G730" s="9" t="s">
        <v>27</v>
      </c>
      <c r="H730" s="8" t="s">
        <v>20</v>
      </c>
      <c r="I730" s="10">
        <v>425543</v>
      </c>
      <c r="J730" s="10">
        <v>5191650</v>
      </c>
      <c r="K730" s="11">
        <v>-43.424340000000001</v>
      </c>
      <c r="L730" s="11">
        <v>146.08016000000001</v>
      </c>
      <c r="N730" s="8" t="s">
        <v>37</v>
      </c>
      <c r="O730" s="8">
        <v>1</v>
      </c>
      <c r="P730" s="8">
        <v>1</v>
      </c>
    </row>
    <row r="731" spans="1:16" x14ac:dyDescent="0.15">
      <c r="A731" s="7" t="s">
        <v>998</v>
      </c>
      <c r="B731" s="9" t="str">
        <f>VLOOKUP(D731,[1]TASMaps!$H$4:$K$269,3,FALSE)</f>
        <v>TK04</v>
      </c>
      <c r="C731" s="9" t="str">
        <f>VLOOKUP(D731,[1]TASMaps!$H$4:$K$269,4,FALSE)</f>
        <v>White River</v>
      </c>
      <c r="D731" s="9">
        <v>3639</v>
      </c>
      <c r="E731" s="9" t="s">
        <v>999</v>
      </c>
      <c r="F731" s="9" t="s">
        <v>30</v>
      </c>
      <c r="G731" s="9" t="s">
        <v>117</v>
      </c>
      <c r="H731" s="8" t="s">
        <v>20</v>
      </c>
      <c r="I731" s="10">
        <v>370990</v>
      </c>
      <c r="J731" s="10">
        <v>5395030</v>
      </c>
      <c r="K731" s="11">
        <v>-41.586010000000002</v>
      </c>
      <c r="L731" s="11">
        <v>145.45224999999999</v>
      </c>
      <c r="N731" s="8" t="s">
        <v>37</v>
      </c>
      <c r="O731" s="8">
        <v>2</v>
      </c>
      <c r="P731" s="8">
        <v>2</v>
      </c>
    </row>
    <row r="732" spans="1:16" x14ac:dyDescent="0.15">
      <c r="A732" s="7" t="s">
        <v>1000</v>
      </c>
      <c r="B732" s="9" t="str">
        <f>VLOOKUP(D732,[1]TASMaps!$H$4:$K$269,3,FALSE)</f>
        <v>TR09</v>
      </c>
      <c r="C732" s="9" t="str">
        <f>VLOOKUP(D732,[1]TASMaps!$H$4:$K$269,4,FALSE)</f>
        <v>Tasman Peninsula</v>
      </c>
      <c r="D732" s="9">
        <v>5521</v>
      </c>
      <c r="E732" s="9" t="s">
        <v>186</v>
      </c>
      <c r="F732" s="9" t="s">
        <v>30</v>
      </c>
      <c r="G732" s="9" t="s">
        <v>83</v>
      </c>
      <c r="H732" s="8" t="s">
        <v>20</v>
      </c>
      <c r="I732" s="10">
        <v>563860</v>
      </c>
      <c r="J732" s="10">
        <v>5215970</v>
      </c>
      <c r="K732" s="11">
        <v>-43.20635</v>
      </c>
      <c r="L732" s="11">
        <v>147.78611000000001</v>
      </c>
      <c r="N732" s="8" t="s">
        <v>37</v>
      </c>
      <c r="P732" s="8">
        <v>1</v>
      </c>
    </row>
    <row r="733" spans="1:16" x14ac:dyDescent="0.15">
      <c r="A733" s="7" t="s">
        <v>1001</v>
      </c>
      <c r="B733" s="9" t="str">
        <f>VLOOKUP(D733,[1]TASMaps!$H$4:$K$269,3,FALSE)</f>
        <v>TL07</v>
      </c>
      <c r="C733" s="9" t="str">
        <f>VLOOKUP(D733,[1]TASMaps!$H$4:$K$269,4,FALSE)</f>
        <v>Breton</v>
      </c>
      <c r="D733" s="9">
        <v>4636</v>
      </c>
      <c r="E733" s="9" t="s">
        <v>324</v>
      </c>
      <c r="F733" s="9" t="s">
        <v>30</v>
      </c>
      <c r="G733" s="9" t="s">
        <v>36</v>
      </c>
      <c r="H733" s="8" t="s">
        <v>20</v>
      </c>
      <c r="I733" s="10">
        <v>470990</v>
      </c>
      <c r="J733" s="10">
        <v>5367990</v>
      </c>
      <c r="K733" s="11">
        <v>-41.839449999999999</v>
      </c>
      <c r="L733" s="11">
        <v>146.65058999999999</v>
      </c>
      <c r="M733" s="8" t="s">
        <v>21</v>
      </c>
      <c r="N733" s="8" t="s">
        <v>37</v>
      </c>
      <c r="O733" s="8">
        <v>1</v>
      </c>
      <c r="P733" s="8">
        <v>1</v>
      </c>
    </row>
    <row r="734" spans="1:16" x14ac:dyDescent="0.15">
      <c r="A734" s="7" t="s">
        <v>1002</v>
      </c>
      <c r="B734" s="9" t="str">
        <f>VLOOKUP(D734,[1]TASMaps!$H$4:$K$269,3,FALSE)</f>
        <v>TJ09</v>
      </c>
      <c r="C734" s="9" t="str">
        <f>VLOOKUP(D734,[1]TASMaps!$H$4:$K$269,4,FALSE)</f>
        <v>Legerwood</v>
      </c>
      <c r="D734" s="9">
        <v>5643</v>
      </c>
      <c r="E734" s="9" t="s">
        <v>644</v>
      </c>
      <c r="F734" s="9" t="s">
        <v>18</v>
      </c>
      <c r="G734" s="9" t="s">
        <v>44</v>
      </c>
      <c r="H734" s="8" t="s">
        <v>20</v>
      </c>
      <c r="I734" s="10">
        <v>573250</v>
      </c>
      <c r="J734" s="10">
        <v>5434930</v>
      </c>
      <c r="K734" s="11">
        <v>-41.233710000000002</v>
      </c>
      <c r="L734" s="11">
        <v>147.87405999999999</v>
      </c>
      <c r="N734" s="8" t="s">
        <v>37</v>
      </c>
      <c r="P734" s="8">
        <v>1</v>
      </c>
    </row>
    <row r="735" spans="1:16" x14ac:dyDescent="0.15">
      <c r="A735" s="7" t="s">
        <v>1003</v>
      </c>
      <c r="B735" s="9" t="str">
        <f>VLOOKUP(D735,[1]TASMaps!$H$4:$K$269,3,FALSE)</f>
        <v>TM09</v>
      </c>
      <c r="C735" s="9" t="str">
        <f>VLOOKUP(D735,[1]TASMaps!$H$4:$K$269,4,FALSE)</f>
        <v>Lake Leake</v>
      </c>
      <c r="D735" s="9">
        <v>5634</v>
      </c>
      <c r="E735" s="9" t="s">
        <v>356</v>
      </c>
      <c r="F735" s="9" t="s">
        <v>18</v>
      </c>
      <c r="G735" s="9" t="s">
        <v>78</v>
      </c>
      <c r="H735" s="8" t="s">
        <v>20</v>
      </c>
      <c r="I735" s="10">
        <v>569820</v>
      </c>
      <c r="J735" s="10">
        <v>5346590</v>
      </c>
      <c r="K735" s="11">
        <v>-42.029629999999997</v>
      </c>
      <c r="L735" s="11">
        <v>147.84344999999999</v>
      </c>
      <c r="N735" s="8" t="s">
        <v>37</v>
      </c>
      <c r="P735" s="8">
        <v>1</v>
      </c>
    </row>
    <row r="736" spans="1:16" x14ac:dyDescent="0.15">
      <c r="A736" s="7" t="s">
        <v>1004</v>
      </c>
      <c r="B736" s="9" t="str">
        <f>VLOOKUP(D736,[1]TASMaps!$H$4:$K$269,3,FALSE)</f>
        <v>TS06</v>
      </c>
      <c r="C736" s="9" t="str">
        <f>VLOOKUP(D736,[1]TASMaps!$H$4:$K$269,4,FALSE)</f>
        <v>Bathurst</v>
      </c>
      <c r="D736" s="9">
        <v>4419</v>
      </c>
      <c r="E736" s="9" t="s">
        <v>984</v>
      </c>
      <c r="F736" s="9" t="s">
        <v>104</v>
      </c>
      <c r="G736" s="9" t="s">
        <v>27</v>
      </c>
      <c r="H736" s="8" t="s">
        <v>20</v>
      </c>
      <c r="I736" s="10">
        <v>444560</v>
      </c>
      <c r="J736" s="10">
        <v>5192520</v>
      </c>
      <c r="K736" s="11">
        <v>-43.41816</v>
      </c>
      <c r="L736" s="11">
        <v>146.31515999999999</v>
      </c>
      <c r="N736" s="8" t="s">
        <v>37</v>
      </c>
      <c r="O736" s="8">
        <v>2</v>
      </c>
      <c r="P736" s="8">
        <v>2</v>
      </c>
    </row>
    <row r="737" spans="1:16" x14ac:dyDescent="0.15">
      <c r="A737" s="9" t="s">
        <v>1005</v>
      </c>
      <c r="B737" s="9" t="str">
        <f>VLOOKUP(D737,[1]TASMaps!$H$4:$K$269,3,FALSE)</f>
        <v>TD10</v>
      </c>
      <c r="C737" s="9" t="str">
        <f>VLOOKUP(D737,[1]TASMaps!$H$4:$K$269,4,FALSE)</f>
        <v>Babel</v>
      </c>
      <c r="D737" s="9">
        <v>5954</v>
      </c>
      <c r="E737" s="9" t="s">
        <v>150</v>
      </c>
      <c r="F737" s="9" t="s">
        <v>30</v>
      </c>
      <c r="G737" s="9" t="s">
        <v>151</v>
      </c>
      <c r="H737" s="8" t="s">
        <v>20</v>
      </c>
      <c r="I737" s="10">
        <v>592710</v>
      </c>
      <c r="J737" s="10">
        <v>5545610</v>
      </c>
      <c r="K737" s="11">
        <v>-40.234819999999999</v>
      </c>
      <c r="L737" s="11">
        <v>148.08984000000001</v>
      </c>
      <c r="N737" s="8" t="s">
        <v>37</v>
      </c>
      <c r="P737" s="8">
        <v>1</v>
      </c>
    </row>
    <row r="738" spans="1:16" x14ac:dyDescent="0.15">
      <c r="A738" s="9" t="s">
        <v>1005</v>
      </c>
      <c r="B738" s="9" t="str">
        <f>VLOOKUP(D738,[1]TASMaps!$H$4:$K$269,3,FALSE)</f>
        <v>TL04</v>
      </c>
      <c r="C738" s="9" t="str">
        <f>VLOOKUP(D738,[1]TASMaps!$H$4:$K$269,4,FALSE)</f>
        <v>Lake Pieman</v>
      </c>
      <c r="D738" s="9">
        <v>3636</v>
      </c>
      <c r="E738" s="9" t="s">
        <v>467</v>
      </c>
      <c r="F738" s="9" t="s">
        <v>30</v>
      </c>
      <c r="G738" s="9" t="s">
        <v>24</v>
      </c>
      <c r="H738" s="8" t="s">
        <v>20</v>
      </c>
      <c r="I738" s="10">
        <v>368630</v>
      </c>
      <c r="J738" s="10">
        <v>5364000</v>
      </c>
      <c r="K738" s="11">
        <v>-41.865009999999998</v>
      </c>
      <c r="L738" s="11">
        <v>145.41711000000001</v>
      </c>
      <c r="N738" s="8" t="s">
        <v>37</v>
      </c>
      <c r="P738" s="8">
        <v>1</v>
      </c>
    </row>
    <row r="739" spans="1:16" x14ac:dyDescent="0.15">
      <c r="A739" s="9" t="s">
        <v>1006</v>
      </c>
      <c r="B739" s="9" t="str">
        <f>VLOOKUP(D739,[1]TASMaps!$H$4:$K$269,3,FALSE)</f>
        <v>TR06</v>
      </c>
      <c r="C739" s="9" t="str">
        <f>VLOOKUP(D739,[1]TASMaps!$H$4:$K$269,4,FALSE)</f>
        <v>Western Arthur</v>
      </c>
      <c r="D739" s="9">
        <v>4422</v>
      </c>
      <c r="E739" s="9" t="s">
        <v>139</v>
      </c>
      <c r="F739" s="9" t="s">
        <v>104</v>
      </c>
      <c r="G739" s="9" t="s">
        <v>27</v>
      </c>
      <c r="H739" s="8" t="s">
        <v>20</v>
      </c>
      <c r="I739" s="10">
        <v>457800</v>
      </c>
      <c r="J739" s="10">
        <v>5220160</v>
      </c>
      <c r="K739" s="11">
        <v>-43.170140000000004</v>
      </c>
      <c r="L739" s="11">
        <v>146.48083</v>
      </c>
      <c r="N739" s="8" t="s">
        <v>37</v>
      </c>
      <c r="P739" s="8">
        <v>1</v>
      </c>
    </row>
    <row r="740" spans="1:16" x14ac:dyDescent="0.15">
      <c r="A740" s="7" t="s">
        <v>1007</v>
      </c>
      <c r="B740" s="9" t="str">
        <f>VLOOKUP(D740,[1]TASMaps!$H$4:$K$269,3,FALSE)</f>
        <v>TL04</v>
      </c>
      <c r="C740" s="9" t="str">
        <f>VLOOKUP(D740,[1]TASMaps!$H$4:$K$269,4,FALSE)</f>
        <v>Lake Pieman</v>
      </c>
      <c r="D740" s="9">
        <v>3636</v>
      </c>
      <c r="E740" s="9" t="s">
        <v>467</v>
      </c>
      <c r="F740" s="9" t="s">
        <v>30</v>
      </c>
      <c r="G740" s="9" t="s">
        <v>24</v>
      </c>
      <c r="H740" s="8" t="s">
        <v>20</v>
      </c>
      <c r="I740" s="10">
        <v>378970</v>
      </c>
      <c r="J740" s="10">
        <v>5366380</v>
      </c>
      <c r="K740" s="11">
        <v>-41.845230000000001</v>
      </c>
      <c r="L740" s="11">
        <v>145.54213999999999</v>
      </c>
      <c r="M740" s="8" t="s">
        <v>21</v>
      </c>
      <c r="N740" s="8" t="s">
        <v>37</v>
      </c>
      <c r="O740" s="8">
        <v>1</v>
      </c>
      <c r="P740" s="8">
        <v>1</v>
      </c>
    </row>
    <row r="741" spans="1:16" x14ac:dyDescent="0.15">
      <c r="A741" s="7" t="s">
        <v>1008</v>
      </c>
      <c r="B741" s="9" t="str">
        <f>VLOOKUP(D741,[1]TASMaps!$H$4:$K$269,3,FALSE)</f>
        <v>TK05</v>
      </c>
      <c r="C741" s="9" t="str">
        <f>VLOOKUP(D741,[1]TASMaps!$H$4:$K$269,4,FALSE)</f>
        <v>Black Bluff</v>
      </c>
      <c r="D741" s="9">
        <v>4039</v>
      </c>
      <c r="E741" s="9" t="s">
        <v>99</v>
      </c>
      <c r="F741" s="9" t="s">
        <v>23</v>
      </c>
      <c r="G741" s="9" t="s">
        <v>24</v>
      </c>
      <c r="H741" s="8" t="s">
        <v>20</v>
      </c>
      <c r="I741" s="10">
        <v>403480</v>
      </c>
      <c r="J741" s="10">
        <v>5391080</v>
      </c>
      <c r="K741" s="11">
        <v>-41.626170000000002</v>
      </c>
      <c r="L741" s="11">
        <v>145.84130999999999</v>
      </c>
      <c r="M741" s="8" t="s">
        <v>21</v>
      </c>
      <c r="N741" s="8" t="s">
        <v>37</v>
      </c>
      <c r="P741" s="8">
        <v>1</v>
      </c>
    </row>
    <row r="742" spans="1:16" x14ac:dyDescent="0.15">
      <c r="A742" s="7" t="s">
        <v>1009</v>
      </c>
      <c r="B742" s="9" t="str">
        <f>VLOOKUP(D742,[1]TASMaps!$H$4:$K$269,3,FALSE)</f>
        <v>TL05</v>
      </c>
      <c r="C742" s="9" t="str">
        <f>VLOOKUP(D742,[1]TASMaps!$H$4:$K$269,4,FALSE)</f>
        <v>Murchison</v>
      </c>
      <c r="D742" s="9">
        <v>3836</v>
      </c>
      <c r="E742" s="9" t="s">
        <v>75</v>
      </c>
      <c r="F742" s="9" t="s">
        <v>18</v>
      </c>
      <c r="G742" s="9" t="s">
        <v>24</v>
      </c>
      <c r="H742" s="8" t="s">
        <v>20</v>
      </c>
      <c r="I742" s="10">
        <v>383010</v>
      </c>
      <c r="J742" s="10">
        <v>5365270</v>
      </c>
      <c r="K742" s="11">
        <v>-41.855829999999997</v>
      </c>
      <c r="L742" s="11">
        <v>145.59057000000001</v>
      </c>
      <c r="N742" s="8" t="s">
        <v>37</v>
      </c>
      <c r="P742" s="8">
        <v>1</v>
      </c>
    </row>
    <row r="743" spans="1:16" x14ac:dyDescent="0.15">
      <c r="A743" s="7" t="s">
        <v>1010</v>
      </c>
      <c r="B743" s="9" t="str">
        <f>VLOOKUP(D743,[1]TASMaps!$H$4:$K$269,3,FALSE)</f>
        <v>TQ06</v>
      </c>
      <c r="C743" s="9" t="str">
        <f>VLOOKUP(D743,[1]TASMaps!$H$4:$K$269,4,FALSE)</f>
        <v>Lake Pedder</v>
      </c>
      <c r="D743" s="9">
        <v>4224</v>
      </c>
      <c r="E743" s="9" t="s">
        <v>300</v>
      </c>
      <c r="F743" s="9" t="s">
        <v>23</v>
      </c>
      <c r="G743" s="9" t="s">
        <v>19</v>
      </c>
      <c r="H743" s="8" t="s">
        <v>20</v>
      </c>
      <c r="I743" s="10">
        <v>421450</v>
      </c>
      <c r="J743" s="10">
        <v>5245654</v>
      </c>
      <c r="K743" s="11">
        <v>-42.9377</v>
      </c>
      <c r="L743" s="11">
        <v>146.03727000000001</v>
      </c>
      <c r="N743" s="8" t="s">
        <v>37</v>
      </c>
      <c r="O743" s="8">
        <v>1</v>
      </c>
      <c r="P743" s="8">
        <v>2</v>
      </c>
    </row>
    <row r="744" spans="1:16" x14ac:dyDescent="0.15">
      <c r="A744" s="7" t="s">
        <v>1011</v>
      </c>
      <c r="B744" s="9" t="str">
        <f>VLOOKUP(D744,[1]TASMaps!$H$4:$K$269,3,FALSE)</f>
        <v>TP06</v>
      </c>
      <c r="C744" s="9" t="str">
        <f>VLOOKUP(D744,[1]TASMaps!$H$4:$K$269,4,FALSE)</f>
        <v>Denison Range</v>
      </c>
      <c r="D744" s="9">
        <v>4428</v>
      </c>
      <c r="E744" s="9" t="s">
        <v>414</v>
      </c>
      <c r="F744" s="9" t="s">
        <v>23</v>
      </c>
      <c r="G744" s="9" t="s">
        <v>36</v>
      </c>
      <c r="H744" s="8" t="s">
        <v>20</v>
      </c>
      <c r="I744" s="10">
        <v>440760</v>
      </c>
      <c r="J744" s="10">
        <v>5289050</v>
      </c>
      <c r="K744" s="11">
        <v>-42.548670000000001</v>
      </c>
      <c r="L744" s="11">
        <v>146.27846</v>
      </c>
      <c r="M744" s="8" t="s">
        <v>21</v>
      </c>
      <c r="N744" s="8">
        <v>3</v>
      </c>
      <c r="O744" s="8">
        <v>3</v>
      </c>
      <c r="P744" s="8">
        <v>3</v>
      </c>
    </row>
    <row r="745" spans="1:16" x14ac:dyDescent="0.15">
      <c r="A745" s="7" t="s">
        <v>1012</v>
      </c>
      <c r="B745" s="9" t="str">
        <f>VLOOKUP(D745,[1]TASMaps!$H$4:$K$269,3,FALSE)</f>
        <v>TQ06</v>
      </c>
      <c r="C745" s="9" t="str">
        <f>VLOOKUP(D745,[1]TASMaps!$H$4:$K$269,4,FALSE)</f>
        <v>Lake Pedder</v>
      </c>
      <c r="D745" s="9">
        <v>4224</v>
      </c>
      <c r="E745" s="9" t="s">
        <v>300</v>
      </c>
      <c r="F745" s="9" t="s">
        <v>23</v>
      </c>
      <c r="G745" s="9" t="s">
        <v>19</v>
      </c>
      <c r="H745" s="8" t="s">
        <v>20</v>
      </c>
      <c r="I745" s="10">
        <v>422200</v>
      </c>
      <c r="J745" s="10">
        <v>5242540</v>
      </c>
      <c r="K745" s="11">
        <v>-42.965809999999998</v>
      </c>
      <c r="L745" s="11">
        <v>146.04603</v>
      </c>
      <c r="N745" s="8" t="s">
        <v>37</v>
      </c>
      <c r="O745" s="8">
        <v>2</v>
      </c>
      <c r="P745" s="8">
        <v>2</v>
      </c>
    </row>
    <row r="746" spans="1:16" x14ac:dyDescent="0.15">
      <c r="A746" s="7" t="s">
        <v>1013</v>
      </c>
      <c r="B746" s="9" t="str">
        <f>VLOOKUP(D746,[1]TASMaps!$H$4:$K$269,3,FALSE)</f>
        <v>TK05</v>
      </c>
      <c r="C746" s="9" t="str">
        <f>VLOOKUP(D746,[1]TASMaps!$H$4:$K$269,4,FALSE)</f>
        <v>Black Bluff</v>
      </c>
      <c r="D746" s="9">
        <v>4039</v>
      </c>
      <c r="E746" s="9" t="s">
        <v>99</v>
      </c>
      <c r="F746" s="9" t="s">
        <v>30</v>
      </c>
      <c r="G746" s="9" t="s">
        <v>24</v>
      </c>
      <c r="H746" s="8" t="s">
        <v>20</v>
      </c>
      <c r="I746" s="10">
        <v>401200</v>
      </c>
      <c r="J746" s="10">
        <v>5390370</v>
      </c>
      <c r="K746" s="11">
        <v>-41.632280000000002</v>
      </c>
      <c r="L746" s="11">
        <v>145.81383</v>
      </c>
      <c r="N746" s="8" t="s">
        <v>37</v>
      </c>
      <c r="O746" s="8">
        <v>2</v>
      </c>
      <c r="P746" s="8">
        <v>2</v>
      </c>
    </row>
    <row r="747" spans="1:16" x14ac:dyDescent="0.15">
      <c r="A747" s="9" t="s">
        <v>1014</v>
      </c>
      <c r="B747" s="9" t="str">
        <f>VLOOKUP(D747,[1]TASMaps!$H$4:$K$269,3,FALSE)</f>
        <v>TL08</v>
      </c>
      <c r="C747" s="9" t="str">
        <f>VLOOKUP(D747,[1]TASMaps!$H$4:$K$269,4,FALSE)</f>
        <v>Hummocky</v>
      </c>
      <c r="D747" s="9">
        <v>5238</v>
      </c>
      <c r="E747" s="9" t="s">
        <v>523</v>
      </c>
      <c r="F747" s="9" t="s">
        <v>30</v>
      </c>
      <c r="G747" s="9" t="s">
        <v>78</v>
      </c>
      <c r="H747" s="8" t="s">
        <v>20</v>
      </c>
      <c r="I747" s="10">
        <v>538020</v>
      </c>
      <c r="J747" s="10">
        <v>5386570</v>
      </c>
      <c r="K747" s="11">
        <v>-41.671720000000001</v>
      </c>
      <c r="L747" s="11">
        <v>147.45674</v>
      </c>
      <c r="N747" s="8" t="s">
        <v>37</v>
      </c>
      <c r="P747" s="8">
        <v>1</v>
      </c>
    </row>
    <row r="748" spans="1:16" x14ac:dyDescent="0.15">
      <c r="A748" s="7" t="s">
        <v>1015</v>
      </c>
      <c r="B748" s="9" t="str">
        <f>VLOOKUP(D748,[1]TASMaps!$H$4:$K$269,3,FALSE)</f>
        <v>TQ09</v>
      </c>
      <c r="C748" s="9" t="str">
        <f>VLOOKUP(D748,[1]TASMaps!$H$4:$K$269,4,FALSE)</f>
        <v>Frederick Henry</v>
      </c>
      <c r="D748" s="9">
        <v>5626</v>
      </c>
      <c r="E748" s="9" t="s">
        <v>676</v>
      </c>
      <c r="F748" s="9" t="s">
        <v>30</v>
      </c>
      <c r="G748" s="9" t="s">
        <v>677</v>
      </c>
      <c r="H748" s="8" t="s">
        <v>20</v>
      </c>
      <c r="I748" s="10">
        <v>569830</v>
      </c>
      <c r="J748" s="10">
        <v>5268000</v>
      </c>
      <c r="K748" s="11">
        <v>-42.737340000000003</v>
      </c>
      <c r="L748" s="11">
        <v>147.85309000000001</v>
      </c>
      <c r="N748" s="8" t="s">
        <v>37</v>
      </c>
      <c r="P748" s="8">
        <v>1</v>
      </c>
    </row>
    <row r="749" spans="1:16" x14ac:dyDescent="0.15">
      <c r="A749" s="9" t="s">
        <v>1016</v>
      </c>
      <c r="B749" s="9" t="str">
        <f>VLOOKUP(D749,[1]TASMaps!$H$4:$K$269,3,FALSE)</f>
        <v>TL09</v>
      </c>
      <c r="C749" s="9" t="str">
        <f>VLOOKUP(D749,[1]TASMaps!$H$4:$K$269,4,FALSE)</f>
        <v>Avoca</v>
      </c>
      <c r="D749" s="9">
        <v>5438</v>
      </c>
      <c r="E749" s="9" t="s">
        <v>1017</v>
      </c>
      <c r="F749" s="9" t="s">
        <v>30</v>
      </c>
      <c r="G749" s="9" t="s">
        <v>78</v>
      </c>
      <c r="H749" s="8" t="s">
        <v>20</v>
      </c>
      <c r="I749" s="10">
        <v>556240</v>
      </c>
      <c r="J749" s="10">
        <v>5382650</v>
      </c>
      <c r="K749" s="11">
        <v>-41.705950000000001</v>
      </c>
      <c r="L749" s="11">
        <v>147.67598000000001</v>
      </c>
      <c r="N749" s="8" t="s">
        <v>37</v>
      </c>
      <c r="P749" s="8">
        <v>1</v>
      </c>
    </row>
    <row r="750" spans="1:16" x14ac:dyDescent="0.15">
      <c r="A750" s="9" t="s">
        <v>1018</v>
      </c>
      <c r="B750" s="9" t="str">
        <f>VLOOKUP(D750,[1]TASMaps!$H$4:$K$269,3,FALSE)</f>
        <v>TJ05</v>
      </c>
      <c r="C750" s="9" t="str">
        <f>VLOOKUP(D750,[1]TASMaps!$H$4:$K$269,4,FALSE)</f>
        <v>Emu River</v>
      </c>
      <c r="D750" s="9">
        <v>4043</v>
      </c>
      <c r="E750" s="9" t="s">
        <v>465</v>
      </c>
      <c r="F750" s="9" t="s">
        <v>30</v>
      </c>
      <c r="G750" s="9" t="s">
        <v>113</v>
      </c>
      <c r="H750" s="8" t="s">
        <v>20</v>
      </c>
      <c r="I750" s="10">
        <v>417640</v>
      </c>
      <c r="J750" s="10">
        <v>5437880</v>
      </c>
      <c r="K750" s="11">
        <v>-41.20626</v>
      </c>
      <c r="L750" s="11">
        <v>146.01765</v>
      </c>
      <c r="N750" s="8" t="s">
        <v>37</v>
      </c>
      <c r="O750" s="8">
        <v>1</v>
      </c>
      <c r="P750" s="8">
        <v>1</v>
      </c>
    </row>
    <row r="751" spans="1:16" x14ac:dyDescent="0.15">
      <c r="A751" s="7" t="s">
        <v>1019</v>
      </c>
      <c r="B751" s="9" t="str">
        <f>VLOOKUP(D751,[1]TASMaps!$H$4:$K$269,3,FALSE)</f>
        <v>TR06</v>
      </c>
      <c r="C751" s="9" t="str">
        <f>VLOOKUP(D751,[1]TASMaps!$H$4:$K$269,4,FALSE)</f>
        <v>Western Arthur</v>
      </c>
      <c r="D751" s="9">
        <v>4421</v>
      </c>
      <c r="E751" s="9" t="s">
        <v>46</v>
      </c>
      <c r="F751" s="9" t="s">
        <v>23</v>
      </c>
      <c r="G751" s="9" t="s">
        <v>27</v>
      </c>
      <c r="H751" s="8" t="s">
        <v>20</v>
      </c>
      <c r="I751" s="10">
        <v>440940</v>
      </c>
      <c r="J751" s="10">
        <v>5210270</v>
      </c>
      <c r="K751" s="11">
        <v>-43.25806</v>
      </c>
      <c r="L751" s="11">
        <v>146.27235999999999</v>
      </c>
      <c r="N751" s="8" t="s">
        <v>37</v>
      </c>
      <c r="P751" s="8">
        <v>1</v>
      </c>
    </row>
    <row r="752" spans="1:16" x14ac:dyDescent="0.15">
      <c r="A752" s="7" t="s">
        <v>1020</v>
      </c>
      <c r="B752" s="9" t="str">
        <f>VLOOKUP(D752,[1]TASMaps!$H$4:$K$269,3,FALSE)</f>
        <v>TR06</v>
      </c>
      <c r="C752" s="9" t="str">
        <f>VLOOKUP(D752,[1]TASMaps!$H$4:$K$269,4,FALSE)</f>
        <v>Western Arthur</v>
      </c>
      <c r="D752" s="9">
        <v>4223</v>
      </c>
      <c r="E752" s="9" t="s">
        <v>318</v>
      </c>
      <c r="F752" s="9" t="s">
        <v>23</v>
      </c>
      <c r="G752" s="9" t="s">
        <v>19</v>
      </c>
      <c r="H752" s="8" t="s">
        <v>20</v>
      </c>
      <c r="I752" s="10">
        <v>430190</v>
      </c>
      <c r="J752" s="10">
        <v>5239330</v>
      </c>
      <c r="K752" s="11">
        <v>-42.995489999999997</v>
      </c>
      <c r="L752" s="11">
        <v>146.14358999999999</v>
      </c>
      <c r="N752" s="8" t="s">
        <v>37</v>
      </c>
      <c r="P752" s="8">
        <v>2</v>
      </c>
    </row>
    <row r="753" spans="1:16" x14ac:dyDescent="0.15">
      <c r="A753" s="7" t="s">
        <v>1021</v>
      </c>
      <c r="B753" s="9" t="str">
        <f>VLOOKUP(D753,[1]TASMaps!$H$4:$K$269,3,FALSE)</f>
        <v>TQ07</v>
      </c>
      <c r="C753" s="9" t="str">
        <f>VLOOKUP(D753,[1]TASMaps!$H$4:$K$269,4,FALSE)</f>
        <v>Snowy Range</v>
      </c>
      <c r="D753" s="9">
        <v>4824</v>
      </c>
      <c r="E753" s="9" t="s">
        <v>674</v>
      </c>
      <c r="F753" s="9" t="s">
        <v>227</v>
      </c>
      <c r="G753" s="9" t="s">
        <v>27</v>
      </c>
      <c r="H753" s="8" t="s">
        <v>20</v>
      </c>
      <c r="I753" s="10">
        <v>491300</v>
      </c>
      <c r="J753" s="10">
        <v>5243990</v>
      </c>
      <c r="K753" s="11">
        <v>-42.956679999999999</v>
      </c>
      <c r="L753" s="11">
        <v>146.89333999999999</v>
      </c>
      <c r="N753" s="8" t="s">
        <v>37</v>
      </c>
      <c r="P753" s="8">
        <v>1</v>
      </c>
    </row>
    <row r="754" spans="1:16" x14ac:dyDescent="0.15">
      <c r="A754" s="7" t="s">
        <v>1022</v>
      </c>
      <c r="B754" s="9" t="str">
        <f>VLOOKUP(D754,[1]TASMaps!$H$4:$K$269,3,FALSE)</f>
        <v>TS06</v>
      </c>
      <c r="C754" s="9" t="str">
        <f>VLOOKUP(D754,[1]TASMaps!$H$4:$K$269,4,FALSE)</f>
        <v>Bathurst</v>
      </c>
      <c r="D754" s="9">
        <v>4420</v>
      </c>
      <c r="E754" s="9" t="s">
        <v>293</v>
      </c>
      <c r="F754" s="9" t="s">
        <v>30</v>
      </c>
      <c r="G754" s="9" t="s">
        <v>27</v>
      </c>
      <c r="H754" s="8" t="s">
        <v>20</v>
      </c>
      <c r="I754" s="10">
        <v>443940</v>
      </c>
      <c r="J754" s="10">
        <v>5209860</v>
      </c>
      <c r="K754" s="11">
        <v>-43.261980000000001</v>
      </c>
      <c r="L754" s="11">
        <v>146.30928</v>
      </c>
      <c r="N754" s="8" t="s">
        <v>37</v>
      </c>
      <c r="O754" s="8">
        <v>2</v>
      </c>
      <c r="P754" s="8">
        <v>2</v>
      </c>
    </row>
    <row r="755" spans="1:16" x14ac:dyDescent="0.15">
      <c r="A755" s="14" t="s">
        <v>1023</v>
      </c>
      <c r="B755" s="9" t="str">
        <f>VLOOKUP(D755,[1]TASMaps!$H$4:$K$269,3,FALSE)</f>
        <v>TL07</v>
      </c>
      <c r="C755" s="9" t="str">
        <f>VLOOKUP(D755,[1]TASMaps!$H$4:$K$269,4,FALSE)</f>
        <v>Breton</v>
      </c>
      <c r="D755" s="9">
        <v>4637</v>
      </c>
      <c r="E755" s="9" t="s">
        <v>35</v>
      </c>
      <c r="F755" s="9" t="s">
        <v>30</v>
      </c>
      <c r="G755" s="9" t="s">
        <v>36</v>
      </c>
      <c r="H755" s="8" t="s">
        <v>20</v>
      </c>
      <c r="I755" s="10">
        <v>471080</v>
      </c>
      <c r="J755" s="10">
        <v>5380130</v>
      </c>
      <c r="K755" s="11">
        <v>-41.730110000000003</v>
      </c>
      <c r="L755" s="11">
        <v>146.65226000000001</v>
      </c>
      <c r="N755" s="8" t="s">
        <v>37</v>
      </c>
      <c r="P755" s="8">
        <v>1</v>
      </c>
    </row>
    <row r="756" spans="1:16" x14ac:dyDescent="0.15">
      <c r="A756" s="7" t="s">
        <v>1024</v>
      </c>
      <c r="B756" s="9" t="str">
        <f>VLOOKUP(D756,[1]TASMaps!$H$4:$K$269,3,FALSE)</f>
        <v>TR07</v>
      </c>
      <c r="C756" s="9" t="str">
        <f>VLOOKUP(D756,[1]TASMaps!$H$4:$K$269,4,FALSE)</f>
        <v>Hartz</v>
      </c>
      <c r="D756" s="9">
        <v>4622</v>
      </c>
      <c r="E756" s="9" t="s">
        <v>948</v>
      </c>
      <c r="F756" s="9" t="s">
        <v>30</v>
      </c>
      <c r="G756" s="9" t="s">
        <v>27</v>
      </c>
      <c r="H756" s="8" t="s">
        <v>20</v>
      </c>
      <c r="I756" s="10">
        <v>471700</v>
      </c>
      <c r="J756" s="10">
        <v>5224750</v>
      </c>
      <c r="K756" s="11">
        <v>-43.129460000000002</v>
      </c>
      <c r="L756" s="11">
        <v>146.65207000000001</v>
      </c>
      <c r="N756" s="8" t="s">
        <v>37</v>
      </c>
      <c r="O756" s="8">
        <v>3</v>
      </c>
      <c r="P756" s="8">
        <v>3</v>
      </c>
    </row>
    <row r="757" spans="1:16" x14ac:dyDescent="0.15">
      <c r="A757" s="9" t="s">
        <v>1025</v>
      </c>
      <c r="B757" s="9" t="str">
        <f>VLOOKUP(D757,[1]TASMaps!$H$4:$K$269,3,FALSE)</f>
        <v>TN05</v>
      </c>
      <c r="C757" s="9" t="str">
        <f>VLOOKUP(D757,[1]TASMaps!$H$4:$K$269,4,FALSE)</f>
        <v>Frenchmans</v>
      </c>
      <c r="D757" s="9">
        <v>4030</v>
      </c>
      <c r="E757" s="9" t="s">
        <v>368</v>
      </c>
      <c r="F757" s="9" t="s">
        <v>23</v>
      </c>
      <c r="G757" s="9" t="s">
        <v>24</v>
      </c>
      <c r="H757" s="8" t="s">
        <v>20</v>
      </c>
      <c r="I757" s="10">
        <v>415920</v>
      </c>
      <c r="J757" s="10">
        <v>5303330</v>
      </c>
      <c r="K757" s="11">
        <v>-42.41778</v>
      </c>
      <c r="L757" s="11">
        <v>145.97805</v>
      </c>
      <c r="N757" s="8" t="s">
        <v>37</v>
      </c>
      <c r="P757" s="8">
        <v>1</v>
      </c>
    </row>
    <row r="758" spans="1:16" x14ac:dyDescent="0.15">
      <c r="A758" s="9" t="s">
        <v>1026</v>
      </c>
      <c r="B758" s="9" t="str">
        <f>VLOOKUP(D758,[1]TASMaps!$H$4:$K$269,3,FALSE)</f>
        <v>TN05</v>
      </c>
      <c r="C758" s="9" t="str">
        <f>VLOOKUP(D758,[1]TASMaps!$H$4:$K$269,4,FALSE)</f>
        <v>Frenchmans</v>
      </c>
      <c r="D758" s="9">
        <v>4030</v>
      </c>
      <c r="E758" s="9" t="s">
        <v>368</v>
      </c>
      <c r="F758" s="9" t="s">
        <v>23</v>
      </c>
      <c r="G758" s="9" t="s">
        <v>24</v>
      </c>
      <c r="H758" s="8" t="s">
        <v>20</v>
      </c>
      <c r="I758" s="10">
        <v>413590</v>
      </c>
      <c r="J758" s="10">
        <v>5301380</v>
      </c>
      <c r="K758" s="11">
        <v>-42.435090000000002</v>
      </c>
      <c r="L758" s="11">
        <v>145.94944000000001</v>
      </c>
      <c r="N758" s="8" t="s">
        <v>37</v>
      </c>
      <c r="P758" s="8">
        <v>1</v>
      </c>
    </row>
    <row r="759" spans="1:16" x14ac:dyDescent="0.15">
      <c r="A759" s="7" t="s">
        <v>1027</v>
      </c>
      <c r="B759" s="9" t="str">
        <f>VLOOKUP(D759,[1]TASMaps!$H$4:$K$269,3,FALSE)</f>
        <v>TQ05</v>
      </c>
      <c r="C759" s="9" t="str">
        <f>VLOOKUP(D759,[1]TASMaps!$H$4:$K$269,4,FALSE)</f>
        <v>Dohertys</v>
      </c>
      <c r="D759" s="9">
        <v>4026</v>
      </c>
      <c r="E759" s="9" t="s">
        <v>1028</v>
      </c>
      <c r="F759" s="9" t="s">
        <v>30</v>
      </c>
      <c r="G759" s="9" t="s">
        <v>19</v>
      </c>
      <c r="H759" s="8" t="s">
        <v>20</v>
      </c>
      <c r="I759" s="10">
        <v>413050</v>
      </c>
      <c r="J759" s="10">
        <v>5269780</v>
      </c>
      <c r="K759" s="11">
        <v>-42.719560000000001</v>
      </c>
      <c r="L759" s="11">
        <v>145.93806000000001</v>
      </c>
      <c r="N759" s="8" t="s">
        <v>37</v>
      </c>
      <c r="O759" s="8">
        <v>2</v>
      </c>
      <c r="P759" s="8">
        <v>2</v>
      </c>
    </row>
    <row r="760" spans="1:16" x14ac:dyDescent="0.15">
      <c r="A760" s="9" t="s">
        <v>1029</v>
      </c>
      <c r="B760" s="9" t="str">
        <f>VLOOKUP(D760,[1]TASMaps!$H$4:$K$269,3,FALSE)</f>
        <v>TR08</v>
      </c>
      <c r="C760" s="9" t="str">
        <f>VLOOKUP(D760,[1]TASMaps!$H$4:$K$269,4,FALSE)</f>
        <v>Channel</v>
      </c>
      <c r="D760" s="9">
        <v>5023</v>
      </c>
      <c r="E760" s="9" t="s">
        <v>629</v>
      </c>
      <c r="F760" s="9" t="s">
        <v>30</v>
      </c>
      <c r="G760" s="9" t="s">
        <v>27</v>
      </c>
      <c r="H760" s="8" t="s">
        <v>20</v>
      </c>
      <c r="I760" s="10">
        <v>514380</v>
      </c>
      <c r="J760" s="10">
        <v>5234030</v>
      </c>
      <c r="K760" s="11">
        <v>-43.046289999999999</v>
      </c>
      <c r="L760" s="11">
        <v>147.17655999999999</v>
      </c>
      <c r="N760" s="8" t="s">
        <v>37</v>
      </c>
      <c r="P760" s="8">
        <v>1</v>
      </c>
    </row>
    <row r="761" spans="1:16" x14ac:dyDescent="0.15">
      <c r="A761" s="7" t="s">
        <v>1030</v>
      </c>
      <c r="B761" s="9" t="str">
        <f>VLOOKUP(D761,[1]TASMaps!$H$4:$K$269,3,FALSE)</f>
        <v>TR06</v>
      </c>
      <c r="C761" s="9" t="str">
        <f>VLOOKUP(D761,[1]TASMaps!$H$4:$K$269,4,FALSE)</f>
        <v>Western Arthur</v>
      </c>
      <c r="D761" s="9">
        <v>4222</v>
      </c>
      <c r="E761" s="9" t="s">
        <v>277</v>
      </c>
      <c r="F761" s="9" t="s">
        <v>30</v>
      </c>
      <c r="G761" s="9" t="s">
        <v>27</v>
      </c>
      <c r="H761" s="8" t="s">
        <v>20</v>
      </c>
      <c r="I761" s="10">
        <v>431640</v>
      </c>
      <c r="J761" s="10">
        <v>5223660</v>
      </c>
      <c r="K761" s="11">
        <v>-43.136719999999997</v>
      </c>
      <c r="L761" s="11">
        <v>146.15944999999999</v>
      </c>
      <c r="N761" s="8">
        <v>3</v>
      </c>
      <c r="O761" s="8">
        <v>3</v>
      </c>
      <c r="P761" s="8">
        <v>3</v>
      </c>
    </row>
    <row r="762" spans="1:16" x14ac:dyDescent="0.15">
      <c r="A762" s="7" t="s">
        <v>1031</v>
      </c>
      <c r="B762" s="9" t="str">
        <f>VLOOKUP(D762,[1]TASMaps!$H$4:$K$269,3,FALSE)</f>
        <v>TM05</v>
      </c>
      <c r="C762" s="9" t="str">
        <f>VLOOKUP(D762,[1]TASMaps!$H$4:$K$269,4,FALSE)</f>
        <v>Eldon</v>
      </c>
      <c r="D762" s="9">
        <v>4034</v>
      </c>
      <c r="E762" s="9" t="s">
        <v>270</v>
      </c>
      <c r="F762" s="9" t="s">
        <v>227</v>
      </c>
      <c r="G762" s="9" t="s">
        <v>24</v>
      </c>
      <c r="H762" s="8" t="s">
        <v>20</v>
      </c>
      <c r="I762" s="10">
        <v>406190</v>
      </c>
      <c r="J762" s="10">
        <v>5344220</v>
      </c>
      <c r="K762" s="11">
        <v>-42.048470000000002</v>
      </c>
      <c r="L762" s="11">
        <v>145.86642000000001</v>
      </c>
      <c r="M762" s="8" t="s">
        <v>21</v>
      </c>
      <c r="N762" s="8" t="s">
        <v>37</v>
      </c>
      <c r="O762" s="8">
        <v>1</v>
      </c>
      <c r="P762" s="8">
        <v>1</v>
      </c>
    </row>
    <row r="763" spans="1:16" x14ac:dyDescent="0.15">
      <c r="A763" s="7" t="s">
        <v>1032</v>
      </c>
      <c r="B763" s="9" t="str">
        <f>VLOOKUP(D763,[1]TASMaps!$H$4:$K$269,3,FALSE)</f>
        <v>TK05</v>
      </c>
      <c r="C763" s="9" t="str">
        <f>VLOOKUP(D763,[1]TASMaps!$H$4:$K$269,4,FALSE)</f>
        <v>Black Bluff</v>
      </c>
      <c r="D763" s="9">
        <v>4039</v>
      </c>
      <c r="E763" s="9" t="s">
        <v>99</v>
      </c>
      <c r="F763" s="9" t="s">
        <v>30</v>
      </c>
      <c r="G763" s="9" t="s">
        <v>142</v>
      </c>
      <c r="H763" s="8" t="s">
        <v>20</v>
      </c>
      <c r="I763" s="10">
        <v>405120</v>
      </c>
      <c r="J763" s="10">
        <v>5400110</v>
      </c>
      <c r="K763" s="11">
        <v>-41.545050000000003</v>
      </c>
      <c r="L763" s="11">
        <v>145.86242999999999</v>
      </c>
      <c r="N763" s="8" t="s">
        <v>37</v>
      </c>
      <c r="P763" s="8">
        <v>1</v>
      </c>
    </row>
    <row r="764" spans="1:16" x14ac:dyDescent="0.15">
      <c r="A764" s="7" t="s">
        <v>1033</v>
      </c>
      <c r="B764" s="9" t="str">
        <f>VLOOKUP(D764,[1]TASMaps!$H$4:$K$269,3,FALSE)</f>
        <v>TK05</v>
      </c>
      <c r="C764" s="9" t="str">
        <f>VLOOKUP(D764,[1]TASMaps!$H$4:$K$269,4,FALSE)</f>
        <v>Black Bluff</v>
      </c>
      <c r="D764" s="9">
        <v>3840</v>
      </c>
      <c r="E764" s="9" t="s">
        <v>848</v>
      </c>
      <c r="F764" s="9" t="s">
        <v>18</v>
      </c>
      <c r="G764" s="9" t="s">
        <v>117</v>
      </c>
      <c r="H764" s="8" t="s">
        <v>20</v>
      </c>
      <c r="I764" s="10">
        <v>385370</v>
      </c>
      <c r="J764" s="10">
        <v>5403440</v>
      </c>
      <c r="K764" s="11">
        <v>-41.51247</v>
      </c>
      <c r="L764" s="11">
        <v>145.62633</v>
      </c>
      <c r="N764" s="8" t="s">
        <v>37</v>
      </c>
      <c r="O764" s="8">
        <v>1</v>
      </c>
      <c r="P764" s="8">
        <v>1</v>
      </c>
    </row>
    <row r="765" spans="1:16" x14ac:dyDescent="0.15">
      <c r="A765" s="7" t="s">
        <v>1034</v>
      </c>
      <c r="B765" s="9" t="str">
        <f>VLOOKUP(D765,[1]TASMaps!$H$4:$K$269,3,FALSE)</f>
        <v>TL05</v>
      </c>
      <c r="C765" s="9" t="str">
        <f>VLOOKUP(D765,[1]TASMaps!$H$4:$K$269,4,FALSE)</f>
        <v>Murchison</v>
      </c>
      <c r="D765" s="9">
        <v>4038</v>
      </c>
      <c r="E765" s="9" t="s">
        <v>90</v>
      </c>
      <c r="F765" s="9" t="s">
        <v>23</v>
      </c>
      <c r="G765" s="9" t="s">
        <v>33</v>
      </c>
      <c r="H765" s="8" t="s">
        <v>20</v>
      </c>
      <c r="I765" s="10">
        <v>414350</v>
      </c>
      <c r="J765" s="10">
        <v>5385390</v>
      </c>
      <c r="K765" s="11">
        <v>-41.678649999999998</v>
      </c>
      <c r="L765" s="11">
        <v>145.97096999999999</v>
      </c>
      <c r="N765" s="8" t="s">
        <v>37</v>
      </c>
      <c r="P765" s="8">
        <v>1</v>
      </c>
    </row>
    <row r="766" spans="1:16" x14ac:dyDescent="0.15">
      <c r="A766" s="7" t="s">
        <v>1035</v>
      </c>
      <c r="B766" s="9" t="str">
        <f>VLOOKUP(D766,[1]TASMaps!$H$4:$K$269,3,FALSE)</f>
        <v>TP07</v>
      </c>
      <c r="C766" s="9" t="str">
        <f>VLOOKUP(D766,[1]TASMaps!$H$4:$K$269,4,FALSE)</f>
        <v>Meadowbank</v>
      </c>
      <c r="D766" s="9">
        <v>4627</v>
      </c>
      <c r="E766" s="9" t="s">
        <v>233</v>
      </c>
      <c r="F766" s="9" t="s">
        <v>104</v>
      </c>
      <c r="G766" s="9" t="s">
        <v>19</v>
      </c>
      <c r="H766" s="8" t="s">
        <v>20</v>
      </c>
      <c r="I766" s="10">
        <v>464420</v>
      </c>
      <c r="J766" s="10">
        <v>5275025</v>
      </c>
      <c r="K766" s="11">
        <v>-42.676430000000003</v>
      </c>
      <c r="L766" s="11">
        <v>146.56575000000001</v>
      </c>
      <c r="M766" s="8" t="s">
        <v>21</v>
      </c>
      <c r="N766" s="8" t="s">
        <v>37</v>
      </c>
      <c r="O766" s="8">
        <v>1</v>
      </c>
      <c r="P766" s="8">
        <v>1</v>
      </c>
    </row>
    <row r="767" spans="1:16" x14ac:dyDescent="0.15">
      <c r="A767" s="7" t="s">
        <v>1036</v>
      </c>
      <c r="B767" s="9" t="str">
        <f>VLOOKUP(D767,[1]TASMaps!$H$4:$K$269,3,FALSE)</f>
        <v>TL06</v>
      </c>
      <c r="C767" s="9" t="str">
        <f>VLOOKUP(D767,[1]TASMaps!$H$4:$K$269,4,FALSE)</f>
        <v>Jerusalem</v>
      </c>
      <c r="D767" s="9">
        <v>4236</v>
      </c>
      <c r="E767" s="9" t="s">
        <v>177</v>
      </c>
      <c r="F767" s="9" t="s">
        <v>30</v>
      </c>
      <c r="G767" s="9" t="s">
        <v>33</v>
      </c>
      <c r="H767" s="8" t="s">
        <v>20</v>
      </c>
      <c r="I767" s="10">
        <v>433405</v>
      </c>
      <c r="J767" s="10">
        <v>5362065</v>
      </c>
      <c r="K767" s="11">
        <v>-41.890540000000001</v>
      </c>
      <c r="L767" s="11">
        <v>146.19726</v>
      </c>
      <c r="M767" s="8" t="s">
        <v>21</v>
      </c>
      <c r="N767" s="8">
        <v>2</v>
      </c>
      <c r="O767" s="8">
        <v>2</v>
      </c>
      <c r="P767" s="8">
        <v>3</v>
      </c>
    </row>
    <row r="768" spans="1:16" x14ac:dyDescent="0.15">
      <c r="A768" s="7" t="s">
        <v>1037</v>
      </c>
      <c r="B768" s="9" t="str">
        <f>VLOOKUP(D768,[1]TASMaps!$H$4:$K$269,3,FALSE)</f>
        <v>TK06</v>
      </c>
      <c r="C768" s="9" t="str">
        <f>VLOOKUP(D768,[1]TASMaps!$H$4:$K$269,4,FALSE)</f>
        <v>Fossey Mountains</v>
      </c>
      <c r="D768" s="9">
        <v>4240</v>
      </c>
      <c r="E768" s="9" t="s">
        <v>141</v>
      </c>
      <c r="F768" s="9" t="s">
        <v>30</v>
      </c>
      <c r="G768" s="9" t="s">
        <v>142</v>
      </c>
      <c r="H768" s="8" t="s">
        <v>20</v>
      </c>
      <c r="I768" s="10">
        <v>438690</v>
      </c>
      <c r="J768" s="10">
        <v>5409750</v>
      </c>
      <c r="K768" s="11">
        <v>-41.461500000000001</v>
      </c>
      <c r="L768" s="11">
        <v>146.26586</v>
      </c>
      <c r="M768" s="8" t="s">
        <v>21</v>
      </c>
      <c r="N768" s="8">
        <v>2</v>
      </c>
      <c r="O768" s="8">
        <v>2</v>
      </c>
      <c r="P768" s="8">
        <v>3</v>
      </c>
    </row>
    <row r="769" spans="1:16" x14ac:dyDescent="0.15">
      <c r="A769" s="9" t="s">
        <v>1038</v>
      </c>
      <c r="B769" s="9" t="str">
        <f>VLOOKUP(D769,[1]TASMaps!$H$4:$K$269,3,FALSE)</f>
        <v>TL05</v>
      </c>
      <c r="C769" s="9" t="str">
        <f>VLOOKUP(D769,[1]TASMaps!$H$4:$K$269,4,FALSE)</f>
        <v>Murchison</v>
      </c>
      <c r="D769" s="9">
        <v>3838</v>
      </c>
      <c r="E769" s="9" t="s">
        <v>202</v>
      </c>
      <c r="F769" s="9" t="s">
        <v>30</v>
      </c>
      <c r="G769" s="9" t="s">
        <v>24</v>
      </c>
      <c r="H769" s="8" t="s">
        <v>20</v>
      </c>
      <c r="I769" s="10">
        <v>396010</v>
      </c>
      <c r="J769" s="10">
        <v>5386540</v>
      </c>
      <c r="K769" s="11">
        <v>-41.666110000000003</v>
      </c>
      <c r="L769" s="11">
        <v>145.75086999999999</v>
      </c>
      <c r="N769" s="8" t="s">
        <v>37</v>
      </c>
      <c r="P769" s="8">
        <v>1</v>
      </c>
    </row>
    <row r="770" spans="1:16" x14ac:dyDescent="0.15">
      <c r="A770" s="7" t="s">
        <v>1039</v>
      </c>
      <c r="B770" s="9" t="str">
        <f>VLOOKUP(D770,[1]TASMaps!$H$4:$K$269,3,FALSE)</f>
        <v>TL05</v>
      </c>
      <c r="C770" s="9" t="str">
        <f>VLOOKUP(D770,[1]TASMaps!$H$4:$K$269,4,FALSE)</f>
        <v>Murchison</v>
      </c>
      <c r="D770" s="9">
        <v>3838</v>
      </c>
      <c r="E770" s="9" t="s">
        <v>202</v>
      </c>
      <c r="F770" s="9" t="s">
        <v>30</v>
      </c>
      <c r="G770" s="9" t="s">
        <v>24</v>
      </c>
      <c r="H770" s="8" t="s">
        <v>20</v>
      </c>
      <c r="I770" s="10">
        <v>394930</v>
      </c>
      <c r="J770" s="10">
        <v>5384680</v>
      </c>
      <c r="K770" s="11">
        <v>-41.682720000000003</v>
      </c>
      <c r="L770" s="11">
        <v>145.73757000000001</v>
      </c>
      <c r="N770" s="8" t="s">
        <v>37</v>
      </c>
      <c r="O770" s="8">
        <v>2</v>
      </c>
      <c r="P770" s="8">
        <v>2</v>
      </c>
    </row>
    <row r="771" spans="1:16" x14ac:dyDescent="0.15">
      <c r="A771" s="7" t="s">
        <v>1040</v>
      </c>
      <c r="B771" s="9" t="str">
        <f>VLOOKUP(D771,[1]TASMaps!$H$4:$K$269,3,FALSE)</f>
        <v>TN06</v>
      </c>
      <c r="C771" s="9" t="str">
        <f>VLOOKUP(D771,[1]TASMaps!$H$4:$K$269,4,FALSE)</f>
        <v>King William</v>
      </c>
      <c r="D771" s="9">
        <v>4232</v>
      </c>
      <c r="E771" s="9" t="s">
        <v>80</v>
      </c>
      <c r="F771" s="9" t="s">
        <v>30</v>
      </c>
      <c r="G771" s="9" t="s">
        <v>24</v>
      </c>
      <c r="H771" s="8" t="s">
        <v>20</v>
      </c>
      <c r="I771" s="10">
        <v>424280</v>
      </c>
      <c r="J771" s="10">
        <v>5322680</v>
      </c>
      <c r="K771" s="11">
        <v>-42.244399999999999</v>
      </c>
      <c r="L771" s="11">
        <v>146.08219</v>
      </c>
      <c r="N771" s="8" t="s">
        <v>37</v>
      </c>
      <c r="O771" s="8">
        <v>2</v>
      </c>
      <c r="P771" s="8">
        <v>2</v>
      </c>
    </row>
    <row r="772" spans="1:16" x14ac:dyDescent="0.15">
      <c r="A772" s="7" t="s">
        <v>1041</v>
      </c>
      <c r="B772" s="9" t="str">
        <f>VLOOKUP(D772,[1]TASMaps!$H$4:$K$269,3,FALSE)</f>
        <v>TK06</v>
      </c>
      <c r="C772" s="9" t="str">
        <f>VLOOKUP(D772,[1]TASMaps!$H$4:$K$269,4,FALSE)</f>
        <v>Fossey Mountains</v>
      </c>
      <c r="D772" s="9">
        <v>4240</v>
      </c>
      <c r="E772" s="9" t="s">
        <v>141</v>
      </c>
      <c r="F772" s="9" t="s">
        <v>30</v>
      </c>
      <c r="G772" s="9" t="s">
        <v>142</v>
      </c>
      <c r="H772" s="8" t="s">
        <v>20</v>
      </c>
      <c r="I772" s="10">
        <v>430120</v>
      </c>
      <c r="J772" s="10">
        <v>5406610</v>
      </c>
      <c r="K772" s="11">
        <v>-41.489080000000001</v>
      </c>
      <c r="L772" s="11">
        <v>146.16288</v>
      </c>
      <c r="N772" s="8" t="s">
        <v>37</v>
      </c>
      <c r="P772" s="8">
        <v>1</v>
      </c>
    </row>
    <row r="773" spans="1:16" x14ac:dyDescent="0.15">
      <c r="A773" s="9" t="s">
        <v>1042</v>
      </c>
      <c r="B773" s="9" t="str">
        <f>VLOOKUP(D773,[1]TASMaps!$H$4:$K$269,3,FALSE)</f>
        <v>TS08</v>
      </c>
      <c r="C773" s="9" t="str">
        <f>VLOOKUP(D773,[1]TASMaps!$H$4:$K$269,4,FALSE)</f>
        <v>South Bruny</v>
      </c>
      <c r="D773" s="9">
        <v>5020</v>
      </c>
      <c r="E773" s="9" t="s">
        <v>496</v>
      </c>
      <c r="F773" s="9" t="s">
        <v>30</v>
      </c>
      <c r="G773" s="9" t="s">
        <v>110</v>
      </c>
      <c r="H773" s="8" t="s">
        <v>20</v>
      </c>
      <c r="I773" s="10">
        <v>518130</v>
      </c>
      <c r="J773" s="10">
        <v>5209400</v>
      </c>
      <c r="K773" s="11">
        <v>-43.267989999999998</v>
      </c>
      <c r="L773" s="11">
        <v>147.2234</v>
      </c>
      <c r="N773" s="8" t="s">
        <v>37</v>
      </c>
      <c r="P773" s="8">
        <v>1</v>
      </c>
    </row>
    <row r="774" spans="1:16" x14ac:dyDescent="0.15">
      <c r="A774" s="9" t="s">
        <v>1043</v>
      </c>
      <c r="B774" s="9" t="str">
        <f>VLOOKUP(D774,[1]TASMaps!$H$4:$K$269,3,FALSE)</f>
        <v>TQ08</v>
      </c>
      <c r="C774" s="9" t="str">
        <f>VLOOKUP(D774,[1]TASMaps!$H$4:$K$269,4,FALSE)</f>
        <v>Wellington</v>
      </c>
      <c r="D774" s="9">
        <v>5024</v>
      </c>
      <c r="E774" s="9" t="s">
        <v>256</v>
      </c>
      <c r="F774" s="9" t="s">
        <v>30</v>
      </c>
      <c r="G774" s="9" t="s">
        <v>27</v>
      </c>
      <c r="H774" s="8" t="s">
        <v>20</v>
      </c>
      <c r="I774" s="10">
        <v>503280</v>
      </c>
      <c r="J774" s="10">
        <v>5244340</v>
      </c>
      <c r="K774" s="11">
        <v>-42.953569999999999</v>
      </c>
      <c r="L774" s="11">
        <v>147.04021</v>
      </c>
      <c r="N774" s="8" t="s">
        <v>37</v>
      </c>
      <c r="P774" s="8">
        <v>1</v>
      </c>
    </row>
    <row r="775" spans="1:16" x14ac:dyDescent="0.15">
      <c r="A775" s="7" t="s">
        <v>1044</v>
      </c>
      <c r="B775" s="9" t="str">
        <f>VLOOKUP(D775,[1]TASMaps!$H$4:$K$269,3,FALSE)</f>
        <v>TM06</v>
      </c>
      <c r="C775" s="9" t="str">
        <f>VLOOKUP(D775,[1]TASMaps!$H$4:$K$269,4,FALSE)</f>
        <v>St Clair</v>
      </c>
      <c r="D775" s="9">
        <v>4233</v>
      </c>
      <c r="E775" s="9" t="s">
        <v>134</v>
      </c>
      <c r="F775" s="9" t="s">
        <v>30</v>
      </c>
      <c r="G775" s="9" t="s">
        <v>36</v>
      </c>
      <c r="H775" s="8" t="s">
        <v>20</v>
      </c>
      <c r="I775" s="10">
        <v>425595</v>
      </c>
      <c r="J775" s="10">
        <v>5335990</v>
      </c>
      <c r="K775" s="11">
        <v>-42.124670000000002</v>
      </c>
      <c r="L775" s="11">
        <v>146.09981999999999</v>
      </c>
      <c r="M775" s="8" t="s">
        <v>21</v>
      </c>
      <c r="N775" s="8" t="s">
        <v>37</v>
      </c>
      <c r="O775" s="8">
        <v>2</v>
      </c>
      <c r="P775" s="8">
        <v>2</v>
      </c>
    </row>
    <row r="776" spans="1:16" x14ac:dyDescent="0.15">
      <c r="A776" s="7" t="s">
        <v>1045</v>
      </c>
      <c r="B776" s="9" t="str">
        <f>VLOOKUP(D776,[1]TASMaps!$H$4:$K$269,3,FALSE)</f>
        <v>TS06</v>
      </c>
      <c r="C776" s="9" t="str">
        <f>VLOOKUP(D776,[1]TASMaps!$H$4:$K$269,4,FALSE)</f>
        <v>Bathurst</v>
      </c>
      <c r="D776" s="9">
        <v>4220</v>
      </c>
      <c r="E776" s="9" t="s">
        <v>157</v>
      </c>
      <c r="F776" s="9" t="s">
        <v>30</v>
      </c>
      <c r="G776" s="9" t="s">
        <v>27</v>
      </c>
      <c r="H776" s="8" t="s">
        <v>20</v>
      </c>
      <c r="I776" s="10">
        <v>428010</v>
      </c>
      <c r="J776" s="10">
        <v>5202360</v>
      </c>
      <c r="K776" s="11">
        <v>-43.328159999999997</v>
      </c>
      <c r="L776" s="11">
        <v>146.11204000000001</v>
      </c>
      <c r="N776" s="8">
        <v>3</v>
      </c>
      <c r="O776" s="8">
        <v>3</v>
      </c>
      <c r="P776" s="8">
        <v>3</v>
      </c>
    </row>
    <row r="777" spans="1:16" x14ac:dyDescent="0.15">
      <c r="A777" s="7" t="s">
        <v>1046</v>
      </c>
      <c r="B777" s="9" t="str">
        <f>VLOOKUP(D777,[1]TASMaps!$H$4:$K$269,3,FALSE)</f>
        <v>TQ08</v>
      </c>
      <c r="C777" s="9" t="str">
        <f>VLOOKUP(D777,[1]TASMaps!$H$4:$K$269,4,FALSE)</f>
        <v>Wellington</v>
      </c>
      <c r="D777" s="9">
        <v>5225</v>
      </c>
      <c r="E777" s="9" t="s">
        <v>384</v>
      </c>
      <c r="F777" s="9" t="s">
        <v>30</v>
      </c>
      <c r="G777" s="9" t="s">
        <v>385</v>
      </c>
      <c r="H777" s="8" t="s">
        <v>20</v>
      </c>
      <c r="I777" s="10">
        <v>537080</v>
      </c>
      <c r="J777" s="10">
        <v>5254570</v>
      </c>
      <c r="K777" s="11">
        <v>-42.86056</v>
      </c>
      <c r="L777" s="11">
        <v>147.4539</v>
      </c>
      <c r="N777" s="8" t="s">
        <v>37</v>
      </c>
      <c r="P777" s="8">
        <v>1</v>
      </c>
    </row>
    <row r="778" spans="1:16" x14ac:dyDescent="0.15">
      <c r="A778" s="7" t="s">
        <v>1047</v>
      </c>
      <c r="B778" s="9" t="str">
        <f>VLOOKUP(D778,[1]TASMaps!$H$4:$K$269,3,FALSE)</f>
        <v>TK09</v>
      </c>
      <c r="C778" s="9" t="str">
        <f>VLOOKUP(D778,[1]TASMaps!$H$4:$K$269,4,FALSE)</f>
        <v>Ben Lomond</v>
      </c>
      <c r="D778" s="9">
        <v>5641</v>
      </c>
      <c r="E778" s="9" t="s">
        <v>196</v>
      </c>
      <c r="F778" s="9" t="s">
        <v>30</v>
      </c>
      <c r="G778" s="9" t="s">
        <v>44</v>
      </c>
      <c r="H778" s="8" t="s">
        <v>20</v>
      </c>
      <c r="I778" s="10">
        <v>563565</v>
      </c>
      <c r="J778" s="10">
        <v>5416780</v>
      </c>
      <c r="K778" s="11">
        <v>-41.398009999999999</v>
      </c>
      <c r="L778" s="11">
        <v>147.7604</v>
      </c>
      <c r="M778" s="8" t="s">
        <v>21</v>
      </c>
      <c r="N778" s="8">
        <v>2</v>
      </c>
      <c r="O778" s="8">
        <v>2</v>
      </c>
      <c r="P778" s="8">
        <v>2</v>
      </c>
    </row>
    <row r="779" spans="1:16" x14ac:dyDescent="0.15">
      <c r="A779" s="7" t="s">
        <v>1048</v>
      </c>
      <c r="B779" s="9" t="str">
        <f>VLOOKUP(D779,[1]TASMaps!$H$4:$K$269,3,FALSE)</f>
        <v>TL05</v>
      </c>
      <c r="C779" s="9" t="str">
        <f>VLOOKUP(D779,[1]TASMaps!$H$4:$K$269,4,FALSE)</f>
        <v>Murchison</v>
      </c>
      <c r="D779" s="9">
        <v>3837</v>
      </c>
      <c r="E779" s="9" t="s">
        <v>194</v>
      </c>
      <c r="F779" s="9" t="s">
        <v>30</v>
      </c>
      <c r="G779" s="9" t="s">
        <v>24</v>
      </c>
      <c r="H779" s="8" t="s">
        <v>20</v>
      </c>
      <c r="I779" s="10">
        <v>382950</v>
      </c>
      <c r="J779" s="10">
        <v>5377980</v>
      </c>
      <c r="K779" s="11">
        <v>-41.741379999999999</v>
      </c>
      <c r="L779" s="11">
        <v>145.59236000000001</v>
      </c>
      <c r="N779" s="8" t="s">
        <v>37</v>
      </c>
      <c r="P779" s="8">
        <v>1</v>
      </c>
    </row>
    <row r="780" spans="1:16" x14ac:dyDescent="0.15">
      <c r="A780" s="7" t="s">
        <v>1049</v>
      </c>
      <c r="B780" s="9" t="str">
        <f>VLOOKUP(D780,[1]TASMaps!$H$4:$K$269,3,FALSE)</f>
        <v>TL07</v>
      </c>
      <c r="C780" s="9" t="str">
        <f>VLOOKUP(D780,[1]TASMaps!$H$4:$K$269,4,FALSE)</f>
        <v>Breton</v>
      </c>
      <c r="D780" s="9">
        <v>4836</v>
      </c>
      <c r="E780" s="9" t="s">
        <v>168</v>
      </c>
      <c r="F780" s="9" t="s">
        <v>1050</v>
      </c>
      <c r="G780" s="9" t="s">
        <v>36</v>
      </c>
      <c r="H780" s="8" t="s">
        <v>20</v>
      </c>
      <c r="I780" s="10">
        <v>488960</v>
      </c>
      <c r="J780" s="10">
        <v>5367530</v>
      </c>
      <c r="K780" s="11">
        <v>-41.844050000000003</v>
      </c>
      <c r="L780" s="11">
        <v>146.86702</v>
      </c>
      <c r="M780" s="8" t="s">
        <v>21</v>
      </c>
      <c r="N780" s="8" t="s">
        <v>37</v>
      </c>
      <c r="O780" s="8">
        <v>1</v>
      </c>
      <c r="P780" s="8">
        <v>1</v>
      </c>
    </row>
    <row r="781" spans="1:16" x14ac:dyDescent="0.15">
      <c r="A781" s="7" t="s">
        <v>1051</v>
      </c>
      <c r="B781" s="9" t="str">
        <f>VLOOKUP(D781,[1]TASMaps!$H$4:$K$269,3,FALSE)</f>
        <v>TQ06</v>
      </c>
      <c r="C781" s="9" t="str">
        <f>VLOOKUP(D781,[1]TASMaps!$H$4:$K$269,4,FALSE)</f>
        <v>Lake Pedder</v>
      </c>
      <c r="D781" s="9">
        <v>4424</v>
      </c>
      <c r="E781" s="9" t="s">
        <v>69</v>
      </c>
      <c r="F781" s="9" t="s">
        <v>30</v>
      </c>
      <c r="G781" s="9" t="s">
        <v>19</v>
      </c>
      <c r="H781" s="8" t="s">
        <v>20</v>
      </c>
      <c r="I781" s="10">
        <v>454580</v>
      </c>
      <c r="J781" s="10">
        <v>5241380</v>
      </c>
      <c r="K781" s="11">
        <v>-42.978879999999997</v>
      </c>
      <c r="L781" s="11">
        <v>146.44295</v>
      </c>
      <c r="M781" s="8" t="s">
        <v>21</v>
      </c>
      <c r="N781" s="8">
        <v>3</v>
      </c>
      <c r="O781" s="8">
        <v>3</v>
      </c>
      <c r="P781" s="8">
        <v>4</v>
      </c>
    </row>
    <row r="782" spans="1:16" x14ac:dyDescent="0.15">
      <c r="A782" s="7" t="s">
        <v>1052</v>
      </c>
      <c r="B782" s="9" t="str">
        <f>VLOOKUP(D782,[1]TASMaps!$H$4:$K$269,3,FALSE)</f>
        <v>TQ06</v>
      </c>
      <c r="C782" s="9" t="str">
        <f>VLOOKUP(D782,[1]TASMaps!$H$4:$K$269,4,FALSE)</f>
        <v>Lake Pedder</v>
      </c>
      <c r="D782" s="9">
        <v>4426</v>
      </c>
      <c r="E782" s="9" t="s">
        <v>663</v>
      </c>
      <c r="F782" s="9" t="s">
        <v>104</v>
      </c>
      <c r="G782" s="9" t="s">
        <v>19</v>
      </c>
      <c r="H782" s="8" t="s">
        <v>20</v>
      </c>
      <c r="I782" s="10">
        <v>446880</v>
      </c>
      <c r="J782" s="10">
        <v>5264040</v>
      </c>
      <c r="K782" s="11">
        <v>-42.774329999999999</v>
      </c>
      <c r="L782" s="11">
        <v>146.35066</v>
      </c>
      <c r="N782" s="8" t="s">
        <v>37</v>
      </c>
      <c r="O782" s="8">
        <v>1</v>
      </c>
      <c r="P782" s="8">
        <v>1</v>
      </c>
    </row>
    <row r="783" spans="1:16" x14ac:dyDescent="0.15">
      <c r="A783" s="7" t="s">
        <v>1053</v>
      </c>
      <c r="B783" s="9" t="str">
        <f>VLOOKUP(D783,[1]TASMaps!$H$4:$K$269,3,FALSE)</f>
        <v>TR06</v>
      </c>
      <c r="C783" s="9" t="str">
        <f>VLOOKUP(D783,[1]TASMaps!$H$4:$K$269,4,FALSE)</f>
        <v>Western Arthur</v>
      </c>
      <c r="D783" s="9">
        <v>4423</v>
      </c>
      <c r="E783" s="9" t="s">
        <v>1054</v>
      </c>
      <c r="F783" s="9" t="s">
        <v>116</v>
      </c>
      <c r="G783" s="9" t="s">
        <v>19</v>
      </c>
      <c r="H783" s="8" t="s">
        <v>20</v>
      </c>
      <c r="I783" s="10">
        <v>452760</v>
      </c>
      <c r="J783" s="10">
        <v>5236340</v>
      </c>
      <c r="K783" s="11">
        <v>-43.024149999999999</v>
      </c>
      <c r="L783" s="11">
        <v>146.42019999999999</v>
      </c>
      <c r="N783" s="8">
        <v>2</v>
      </c>
      <c r="O783" s="8">
        <v>2</v>
      </c>
      <c r="P783" s="8">
        <v>3</v>
      </c>
    </row>
    <row r="784" spans="1:16" x14ac:dyDescent="0.15">
      <c r="A784" s="7" t="s">
        <v>1055</v>
      </c>
      <c r="B784" s="9" t="str">
        <f>VLOOKUP(D784,[1]TASMaps!$H$4:$K$269,3,FALSE)</f>
        <v>TR06</v>
      </c>
      <c r="C784" s="9" t="str">
        <f>VLOOKUP(D784,[1]TASMaps!$H$4:$K$269,4,FALSE)</f>
        <v>Western Arthur</v>
      </c>
      <c r="D784" s="9">
        <v>4222</v>
      </c>
      <c r="E784" s="9" t="s">
        <v>277</v>
      </c>
      <c r="F784" s="9" t="s">
        <v>30</v>
      </c>
      <c r="G784" s="9" t="s">
        <v>27</v>
      </c>
      <c r="H784" s="8" t="s">
        <v>20</v>
      </c>
      <c r="I784" s="10">
        <v>423280</v>
      </c>
      <c r="J784" s="10">
        <v>5228870</v>
      </c>
      <c r="K784" s="11">
        <v>-43.089010000000002</v>
      </c>
      <c r="L784" s="11">
        <v>146.05739</v>
      </c>
      <c r="N784" s="8" t="s">
        <v>37</v>
      </c>
      <c r="P784" s="8">
        <v>1</v>
      </c>
    </row>
    <row r="785" spans="1:16" x14ac:dyDescent="0.15">
      <c r="A785" s="7" t="s">
        <v>1056</v>
      </c>
      <c r="B785" s="9" t="str">
        <f>VLOOKUP(D785,[1]TASMaps!$H$4:$K$269,3,FALSE)</f>
        <v>TR06</v>
      </c>
      <c r="C785" s="9" t="str">
        <f>VLOOKUP(D785,[1]TASMaps!$H$4:$K$269,4,FALSE)</f>
        <v>Western Arthur</v>
      </c>
      <c r="D785" s="9">
        <v>4422</v>
      </c>
      <c r="E785" s="9" t="s">
        <v>139</v>
      </c>
      <c r="F785" s="9" t="s">
        <v>30</v>
      </c>
      <c r="G785" s="9" t="s">
        <v>27</v>
      </c>
      <c r="H785" s="8" t="s">
        <v>20</v>
      </c>
      <c r="I785" s="10">
        <v>446780</v>
      </c>
      <c r="J785" s="10">
        <v>5221050</v>
      </c>
      <c r="K785" s="11">
        <v>-43.161430000000003</v>
      </c>
      <c r="L785" s="11">
        <v>146.34535</v>
      </c>
      <c r="M785" s="8" t="s">
        <v>21</v>
      </c>
      <c r="N785" s="8" t="s">
        <v>37</v>
      </c>
      <c r="O785" s="8">
        <v>2</v>
      </c>
      <c r="P785" s="8">
        <v>2</v>
      </c>
    </row>
    <row r="786" spans="1:16" x14ac:dyDescent="0.15">
      <c r="A786" s="7" t="s">
        <v>1057</v>
      </c>
      <c r="B786" s="9" t="str">
        <f>VLOOKUP(D786,[1]TASMaps!$H$4:$K$269,3,FALSE)</f>
        <v>TJ09</v>
      </c>
      <c r="C786" s="9" t="str">
        <f>VLOOKUP(D786,[1]TASMaps!$H$4:$K$269,4,FALSE)</f>
        <v>Legerwood</v>
      </c>
      <c r="D786" s="9">
        <v>5442</v>
      </c>
      <c r="E786" s="9" t="s">
        <v>809</v>
      </c>
      <c r="F786" s="9" t="s">
        <v>30</v>
      </c>
      <c r="G786" s="9" t="s">
        <v>210</v>
      </c>
      <c r="H786" s="8" t="s">
        <v>20</v>
      </c>
      <c r="I786" s="10">
        <v>543360</v>
      </c>
      <c r="J786" s="10">
        <v>5427600</v>
      </c>
      <c r="K786" s="11">
        <v>-41.30189</v>
      </c>
      <c r="L786" s="11">
        <v>147.51794000000001</v>
      </c>
      <c r="N786" s="8" t="s">
        <v>37</v>
      </c>
      <c r="O786" s="8">
        <v>1</v>
      </c>
      <c r="P786" s="8">
        <v>1</v>
      </c>
    </row>
    <row r="787" spans="1:16" x14ac:dyDescent="0.15">
      <c r="A787" s="7" t="s">
        <v>1058</v>
      </c>
      <c r="B787" s="9" t="str">
        <f>VLOOKUP(D787,[1]TASMaps!$H$4:$K$269,3,FALSE)</f>
        <v>TR06</v>
      </c>
      <c r="C787" s="9" t="str">
        <f>VLOOKUP(D787,[1]TASMaps!$H$4:$K$269,4,FALSE)</f>
        <v>Western Arthur</v>
      </c>
      <c r="D787" s="9">
        <v>4423</v>
      </c>
      <c r="E787" s="9" t="s">
        <v>1054</v>
      </c>
      <c r="F787" s="9" t="s">
        <v>23</v>
      </c>
      <c r="G787" s="9" t="s">
        <v>19</v>
      </c>
      <c r="H787" s="8" t="s">
        <v>20</v>
      </c>
      <c r="I787" s="10">
        <v>441160</v>
      </c>
      <c r="J787" s="10">
        <v>5238430</v>
      </c>
      <c r="K787" s="11">
        <v>-43.004519999999999</v>
      </c>
      <c r="L787" s="11">
        <v>146.27806000000001</v>
      </c>
      <c r="N787" s="8" t="s">
        <v>37</v>
      </c>
      <c r="O787" s="8">
        <v>2</v>
      </c>
      <c r="P787" s="8">
        <v>1</v>
      </c>
    </row>
    <row r="788" spans="1:16" x14ac:dyDescent="0.15">
      <c r="A788" s="9" t="s">
        <v>1059</v>
      </c>
      <c r="B788" s="9" t="str">
        <f>VLOOKUP(D788,[1]TASMaps!$H$4:$K$269,3,FALSE)</f>
        <v>TQ07</v>
      </c>
      <c r="C788" s="9" t="str">
        <f>VLOOKUP(D788,[1]TASMaps!$H$4:$K$269,4,FALSE)</f>
        <v>Snowy Range</v>
      </c>
      <c r="D788" s="9">
        <v>4625</v>
      </c>
      <c r="E788" s="9" t="s">
        <v>684</v>
      </c>
      <c r="F788" s="9" t="s">
        <v>30</v>
      </c>
      <c r="G788" s="9" t="s">
        <v>19</v>
      </c>
      <c r="H788" s="8" t="s">
        <v>20</v>
      </c>
      <c r="I788" s="10">
        <v>472080</v>
      </c>
      <c r="J788" s="10">
        <v>5250340</v>
      </c>
      <c r="K788" s="11">
        <v>-42.899039999999999</v>
      </c>
      <c r="L788" s="11">
        <v>146.65801999999999</v>
      </c>
      <c r="N788" s="8" t="s">
        <v>37</v>
      </c>
      <c r="P788" s="8">
        <v>1</v>
      </c>
    </row>
    <row r="789" spans="1:16" x14ac:dyDescent="0.15">
      <c r="A789" s="7" t="s">
        <v>1060</v>
      </c>
      <c r="B789" s="9" t="str">
        <f>VLOOKUP(D789,[1]TASMaps!$H$4:$K$269,3,FALSE)</f>
        <v>TR06</v>
      </c>
      <c r="C789" s="9" t="str">
        <f>VLOOKUP(D789,[1]TASMaps!$H$4:$K$269,4,FALSE)</f>
        <v>Western Arthur</v>
      </c>
      <c r="D789" s="9">
        <v>4223</v>
      </c>
      <c r="E789" s="9" t="s">
        <v>318</v>
      </c>
      <c r="F789" s="9" t="s">
        <v>23</v>
      </c>
      <c r="G789" s="9" t="s">
        <v>27</v>
      </c>
      <c r="H789" s="8" t="s">
        <v>20</v>
      </c>
      <c r="I789" s="10">
        <v>428780</v>
      </c>
      <c r="J789" s="10">
        <v>5230700</v>
      </c>
      <c r="K789" s="11">
        <v>-43.073070000000001</v>
      </c>
      <c r="L789" s="11">
        <v>146.12519</v>
      </c>
      <c r="N789" s="8" t="s">
        <v>37</v>
      </c>
      <c r="P789" s="8">
        <v>1</v>
      </c>
    </row>
    <row r="790" spans="1:16" x14ac:dyDescent="0.15">
      <c r="A790" s="7" t="s">
        <v>1061</v>
      </c>
      <c r="B790" s="9" t="str">
        <f>VLOOKUP(D790,[1]TASMaps!$H$4:$K$269,3,FALSE)</f>
        <v>TR06</v>
      </c>
      <c r="C790" s="9" t="str">
        <f>VLOOKUP(D790,[1]TASMaps!$H$4:$K$269,4,FALSE)</f>
        <v>Western Arthur</v>
      </c>
      <c r="D790" s="9">
        <v>4421</v>
      </c>
      <c r="E790" s="9" t="s">
        <v>46</v>
      </c>
      <c r="F790" s="9" t="s">
        <v>23</v>
      </c>
      <c r="G790" s="9" t="s">
        <v>27</v>
      </c>
      <c r="H790" s="8" t="s">
        <v>20</v>
      </c>
      <c r="I790" s="10">
        <v>448630</v>
      </c>
      <c r="J790" s="10">
        <v>5220050</v>
      </c>
      <c r="K790" s="11">
        <v>-43.170569999999998</v>
      </c>
      <c r="L790" s="11">
        <v>146.36801</v>
      </c>
      <c r="N790" s="8" t="s">
        <v>37</v>
      </c>
      <c r="P790" s="8">
        <v>1</v>
      </c>
    </row>
    <row r="791" spans="1:16" x14ac:dyDescent="0.15">
      <c r="A791" s="7" t="s">
        <v>1062</v>
      </c>
      <c r="B791" s="9" t="str">
        <f>VLOOKUP(D791,[1]TASMaps!$H$4:$K$269,3,FALSE)</f>
        <v>TR06</v>
      </c>
      <c r="C791" s="9" t="str">
        <f>VLOOKUP(D791,[1]TASMaps!$H$4:$K$269,4,FALSE)</f>
        <v>Western Arthur</v>
      </c>
      <c r="D791" s="9">
        <v>4223</v>
      </c>
      <c r="E791" s="9" t="s">
        <v>318</v>
      </c>
      <c r="F791" s="9" t="s">
        <v>30</v>
      </c>
      <c r="G791" s="9" t="s">
        <v>19</v>
      </c>
      <c r="H791" s="8" t="s">
        <v>20</v>
      </c>
      <c r="I791" s="10">
        <v>431120</v>
      </c>
      <c r="J791" s="10">
        <v>5230240</v>
      </c>
      <c r="K791" s="11">
        <v>-43.077419999999996</v>
      </c>
      <c r="L791" s="11">
        <v>146.15387000000001</v>
      </c>
      <c r="N791" s="8" t="s">
        <v>37</v>
      </c>
      <c r="O791" s="8">
        <v>1</v>
      </c>
      <c r="P791" s="8">
        <v>1</v>
      </c>
    </row>
    <row r="792" spans="1:16" x14ac:dyDescent="0.15">
      <c r="A792" s="7" t="s">
        <v>1063</v>
      </c>
      <c r="B792" s="9" t="str">
        <f>VLOOKUP(D792,[1]TASMaps!$H$4:$K$269,3,FALSE)</f>
        <v>TP07</v>
      </c>
      <c r="C792" s="9" t="str">
        <f>VLOOKUP(D792,[1]TASMaps!$H$4:$K$269,4,FALSE)</f>
        <v>Meadowbank</v>
      </c>
      <c r="D792" s="9">
        <v>4627</v>
      </c>
      <c r="E792" s="9" t="s">
        <v>233</v>
      </c>
      <c r="F792" s="9" t="s">
        <v>30</v>
      </c>
      <c r="G792" s="9" t="s">
        <v>19</v>
      </c>
      <c r="H792" s="8" t="s">
        <v>20</v>
      </c>
      <c r="I792" s="10">
        <v>470020</v>
      </c>
      <c r="J792" s="10">
        <v>5275260</v>
      </c>
      <c r="K792" s="11">
        <v>-42.674550000000004</v>
      </c>
      <c r="L792" s="11">
        <v>146.63410999999999</v>
      </c>
      <c r="N792" s="8" t="s">
        <v>37</v>
      </c>
      <c r="P792" s="8">
        <v>1</v>
      </c>
    </row>
    <row r="793" spans="1:16" x14ac:dyDescent="0.15">
      <c r="A793" s="7" t="s">
        <v>1064</v>
      </c>
      <c r="B793" s="9" t="str">
        <f>VLOOKUP(D793,[1]TASMaps!$H$4:$K$269,3,FALSE)</f>
        <v>TN05</v>
      </c>
      <c r="C793" s="9" t="str">
        <f>VLOOKUP(D793,[1]TASMaps!$H$4:$K$269,4,FALSE)</f>
        <v>Frenchmans</v>
      </c>
      <c r="D793" s="9">
        <v>4030</v>
      </c>
      <c r="E793" s="9" t="s">
        <v>368</v>
      </c>
      <c r="F793" s="9" t="s">
        <v>30</v>
      </c>
      <c r="G793" s="9" t="s">
        <v>24</v>
      </c>
      <c r="H793" s="8" t="s">
        <v>20</v>
      </c>
      <c r="I793" s="10">
        <v>407400</v>
      </c>
      <c r="J793" s="10">
        <v>5307130</v>
      </c>
      <c r="K793" s="11">
        <v>-42.382599999999996</v>
      </c>
      <c r="L793" s="11">
        <v>145.87512000000001</v>
      </c>
      <c r="N793" s="8" t="s">
        <v>37</v>
      </c>
      <c r="O793" s="8">
        <v>2</v>
      </c>
      <c r="P793" s="8">
        <v>2</v>
      </c>
    </row>
    <row r="794" spans="1:16" x14ac:dyDescent="0.15">
      <c r="A794" s="7" t="s">
        <v>1065</v>
      </c>
      <c r="B794" s="9" t="str">
        <f>VLOOKUP(D794,[1]TASMaps!$H$4:$K$269,3,FALSE)</f>
        <v>TR06</v>
      </c>
      <c r="C794" s="9" t="str">
        <f>VLOOKUP(D794,[1]TASMaps!$H$4:$K$269,4,FALSE)</f>
        <v>Western Arthur</v>
      </c>
      <c r="D794" s="9">
        <v>4223</v>
      </c>
      <c r="E794" s="9" t="s">
        <v>318</v>
      </c>
      <c r="F794" s="9" t="s">
        <v>23</v>
      </c>
      <c r="G794" s="9" t="s">
        <v>19</v>
      </c>
      <c r="H794" s="8" t="s">
        <v>20</v>
      </c>
      <c r="I794" s="10">
        <v>431100</v>
      </c>
      <c r="J794" s="10">
        <v>5240140</v>
      </c>
      <c r="K794" s="11">
        <v>-42.988280000000003</v>
      </c>
      <c r="L794" s="11">
        <v>146.15485000000001</v>
      </c>
      <c r="N794" s="8">
        <v>2</v>
      </c>
      <c r="O794" s="8">
        <v>2</v>
      </c>
      <c r="P794" s="8">
        <v>3</v>
      </c>
    </row>
    <row r="795" spans="1:16" x14ac:dyDescent="0.15">
      <c r="A795" s="9" t="s">
        <v>1066</v>
      </c>
      <c r="B795" s="9" t="str">
        <f>VLOOKUP(D795,[1]TASMaps!$H$4:$K$269,3,FALSE)</f>
        <v>TM05</v>
      </c>
      <c r="C795" s="9" t="str">
        <f>VLOOKUP(D795,[1]TASMaps!$H$4:$K$269,4,FALSE)</f>
        <v>Eldon</v>
      </c>
      <c r="D795" s="9">
        <v>3834</v>
      </c>
      <c r="E795" s="9" t="s">
        <v>746</v>
      </c>
      <c r="F795" s="9" t="s">
        <v>30</v>
      </c>
      <c r="G795" s="9" t="s">
        <v>24</v>
      </c>
      <c r="H795" s="8" t="s">
        <v>20</v>
      </c>
      <c r="I795" s="10">
        <v>382340</v>
      </c>
      <c r="J795" s="10">
        <v>5347890</v>
      </c>
      <c r="K795" s="11">
        <v>-42.012219999999999</v>
      </c>
      <c r="L795" s="11">
        <v>145.57902999999999</v>
      </c>
      <c r="N795" s="8" t="s">
        <v>37</v>
      </c>
      <c r="P795" s="8">
        <v>1</v>
      </c>
    </row>
    <row r="796" spans="1:16" x14ac:dyDescent="0.15">
      <c r="A796" s="7" t="s">
        <v>1067</v>
      </c>
      <c r="B796" s="9" t="str">
        <f>VLOOKUP(D796,[1]TASMaps!$H$4:$K$269,3,FALSE)</f>
        <v>TM05</v>
      </c>
      <c r="C796" s="9" t="str">
        <f>VLOOKUP(D796,[1]TASMaps!$H$4:$K$269,4,FALSE)</f>
        <v>Eldon</v>
      </c>
      <c r="D796" s="9">
        <v>3834</v>
      </c>
      <c r="E796" s="9" t="s">
        <v>746</v>
      </c>
      <c r="F796" s="9" t="s">
        <v>30</v>
      </c>
      <c r="G796" s="9" t="s">
        <v>24</v>
      </c>
      <c r="H796" s="8" t="s">
        <v>20</v>
      </c>
      <c r="I796" s="10">
        <v>385420</v>
      </c>
      <c r="J796" s="10">
        <v>5348960</v>
      </c>
      <c r="K796" s="11">
        <v>-42.003039999999999</v>
      </c>
      <c r="L796" s="11">
        <v>145.61643000000001</v>
      </c>
      <c r="M796" s="8" t="s">
        <v>21</v>
      </c>
      <c r="N796" s="8" t="s">
        <v>37</v>
      </c>
      <c r="O796" s="8">
        <v>2</v>
      </c>
      <c r="P796" s="8">
        <v>2</v>
      </c>
    </row>
    <row r="797" spans="1:16" x14ac:dyDescent="0.15">
      <c r="A797" s="9" t="s">
        <v>1068</v>
      </c>
      <c r="B797" s="9" t="str">
        <f>VLOOKUP(D797,[1]TASMaps!$H$4:$K$269,3,FALSE)</f>
        <v>TL05</v>
      </c>
      <c r="C797" s="9" t="str">
        <f>VLOOKUP(D797,[1]TASMaps!$H$4:$K$269,4,FALSE)</f>
        <v>Murchison</v>
      </c>
      <c r="D797" s="9">
        <v>3836</v>
      </c>
      <c r="E797" s="9" t="s">
        <v>75</v>
      </c>
      <c r="F797" s="9" t="s">
        <v>30</v>
      </c>
      <c r="G797" s="9" t="s">
        <v>24</v>
      </c>
      <c r="H797" s="8" t="s">
        <v>20</v>
      </c>
      <c r="I797" s="10">
        <v>386000</v>
      </c>
      <c r="J797" s="10">
        <v>5363190</v>
      </c>
      <c r="K797" s="11">
        <v>-41.875</v>
      </c>
      <c r="L797" s="11">
        <v>145.62618000000001</v>
      </c>
      <c r="N797" s="8" t="s">
        <v>37</v>
      </c>
      <c r="P797" s="8">
        <v>1</v>
      </c>
    </row>
    <row r="798" spans="1:16" x14ac:dyDescent="0.15">
      <c r="A798" s="7" t="s">
        <v>1069</v>
      </c>
      <c r="B798" s="9" t="str">
        <f>VLOOKUP(D798,[1]TASMaps!$H$4:$K$269,3,FALSE)</f>
        <v>TQ06</v>
      </c>
      <c r="C798" s="9" t="str">
        <f>VLOOKUP(D798,[1]TASMaps!$H$4:$K$269,4,FALSE)</f>
        <v>Lake Pedder</v>
      </c>
      <c r="D798" s="9">
        <v>4225</v>
      </c>
      <c r="E798" s="9" t="s">
        <v>366</v>
      </c>
      <c r="F798" s="9" t="s">
        <v>104</v>
      </c>
      <c r="G798" s="9" t="s">
        <v>19</v>
      </c>
      <c r="H798" s="8" t="s">
        <v>20</v>
      </c>
      <c r="I798" s="10">
        <v>438140</v>
      </c>
      <c r="J798" s="10">
        <v>5253390</v>
      </c>
      <c r="K798" s="11">
        <v>-42.869579999999999</v>
      </c>
      <c r="L798" s="11">
        <v>146.24266</v>
      </c>
      <c r="N798" s="8">
        <v>2</v>
      </c>
      <c r="O798" s="8">
        <v>2</v>
      </c>
      <c r="P798" s="8">
        <v>2</v>
      </c>
    </row>
    <row r="799" spans="1:16" x14ac:dyDescent="0.15">
      <c r="A799" s="9" t="s">
        <v>1070</v>
      </c>
      <c r="B799" s="9" t="str">
        <f>VLOOKUP(D799,[1]TASMaps!$H$4:$K$269,3,FALSE)</f>
        <v>TN08</v>
      </c>
      <c r="C799" s="9" t="str">
        <f>VLOOKUP(D799,[1]TASMaps!$H$4:$K$269,4,FALSE)</f>
        <v>Tiberias</v>
      </c>
      <c r="D799" s="9">
        <v>5032</v>
      </c>
      <c r="E799" s="9" t="s">
        <v>519</v>
      </c>
      <c r="F799" s="9" t="s">
        <v>30</v>
      </c>
      <c r="G799" s="9" t="s">
        <v>36</v>
      </c>
      <c r="H799" s="8" t="s">
        <v>20</v>
      </c>
      <c r="I799" s="10">
        <v>509660</v>
      </c>
      <c r="J799" s="10">
        <v>5325760</v>
      </c>
      <c r="K799" s="11">
        <v>-42.220269999999999</v>
      </c>
      <c r="L799" s="11">
        <v>147.11705000000001</v>
      </c>
      <c r="N799" s="8" t="s">
        <v>37</v>
      </c>
      <c r="P799" s="8">
        <v>1</v>
      </c>
    </row>
    <row r="800" spans="1:16" x14ac:dyDescent="0.15">
      <c r="A800" s="7" t="s">
        <v>1071</v>
      </c>
      <c r="B800" s="9" t="str">
        <f>VLOOKUP(D800,[1]TASMaps!$H$4:$K$269,3,FALSE)</f>
        <v>TN08</v>
      </c>
      <c r="C800" s="9" t="str">
        <f>VLOOKUP(D800,[1]TASMaps!$H$4:$K$269,4,FALSE)</f>
        <v>Tiberias</v>
      </c>
      <c r="D800" s="9">
        <v>5230</v>
      </c>
      <c r="E800" s="9" t="s">
        <v>67</v>
      </c>
      <c r="F800" s="9" t="s">
        <v>30</v>
      </c>
      <c r="G800" s="9" t="s">
        <v>59</v>
      </c>
      <c r="H800" s="8" t="s">
        <v>20</v>
      </c>
      <c r="I800" s="10">
        <v>538810</v>
      </c>
      <c r="J800" s="10">
        <v>5309290</v>
      </c>
      <c r="K800" s="11">
        <v>-42.367699999999999</v>
      </c>
      <c r="L800" s="11">
        <v>147.47134</v>
      </c>
      <c r="N800" s="8" t="s">
        <v>37</v>
      </c>
      <c r="P800" s="8">
        <v>1</v>
      </c>
    </row>
    <row r="801" spans="1:16" x14ac:dyDescent="0.15">
      <c r="A801" s="7" t="s">
        <v>1072</v>
      </c>
      <c r="B801" s="9" t="str">
        <f>VLOOKUP(D801,[1]TASMaps!$H$4:$K$269,3,FALSE)</f>
        <v>TN06</v>
      </c>
      <c r="C801" s="9" t="str">
        <f>VLOOKUP(D801,[1]TASMaps!$H$4:$K$269,4,FALSE)</f>
        <v>King William</v>
      </c>
      <c r="D801" s="9">
        <v>4430</v>
      </c>
      <c r="E801" s="9" t="s">
        <v>410</v>
      </c>
      <c r="F801" s="9" t="s">
        <v>30</v>
      </c>
      <c r="G801" s="9" t="s">
        <v>36</v>
      </c>
      <c r="H801" s="8" t="s">
        <v>20</v>
      </c>
      <c r="I801" s="10">
        <v>450690</v>
      </c>
      <c r="J801" s="10">
        <v>5301780</v>
      </c>
      <c r="K801" s="11">
        <v>-42.434730000000002</v>
      </c>
      <c r="L801" s="11">
        <v>146.40049999999999</v>
      </c>
      <c r="M801" s="8" t="s">
        <v>21</v>
      </c>
      <c r="N801" s="8" t="s">
        <v>37</v>
      </c>
      <c r="O801" s="8">
        <v>2</v>
      </c>
      <c r="P801" s="8">
        <v>4</v>
      </c>
    </row>
    <row r="802" spans="1:16" x14ac:dyDescent="0.15">
      <c r="A802" s="9" t="s">
        <v>1073</v>
      </c>
      <c r="B802" s="9" t="str">
        <f>VLOOKUP(D802,[1]TASMaps!$H$4:$K$269,3,FALSE)</f>
        <v>TM07</v>
      </c>
      <c r="C802" s="9" t="str">
        <f>VLOOKUP(D802,[1]TASMaps!$H$4:$K$269,4,FALSE)</f>
        <v>Penstock</v>
      </c>
      <c r="D802" s="9">
        <v>4833</v>
      </c>
      <c r="E802" s="9" t="s">
        <v>103</v>
      </c>
      <c r="F802" s="9" t="s">
        <v>104</v>
      </c>
      <c r="G802" s="9" t="s">
        <v>36</v>
      </c>
      <c r="H802" s="8" t="s">
        <v>20</v>
      </c>
      <c r="I802" s="10">
        <v>496370</v>
      </c>
      <c r="J802" s="10">
        <v>5330600</v>
      </c>
      <c r="K802" s="11">
        <v>-42.176729999999999</v>
      </c>
      <c r="L802" s="11">
        <v>146.95605</v>
      </c>
      <c r="N802" s="8" t="s">
        <v>37</v>
      </c>
      <c r="P802" s="8">
        <v>1</v>
      </c>
    </row>
    <row r="803" spans="1:16" x14ac:dyDescent="0.15">
      <c r="A803" s="9" t="s">
        <v>1074</v>
      </c>
      <c r="B803" s="9" t="str">
        <f>VLOOKUP(D803,[1]TASMaps!$H$4:$K$269,3,FALSE)</f>
        <v>TK05</v>
      </c>
      <c r="C803" s="9" t="str">
        <f>VLOOKUP(D803,[1]TASMaps!$H$4:$K$269,4,FALSE)</f>
        <v>Black Bluff</v>
      </c>
      <c r="D803" s="9">
        <v>3839</v>
      </c>
      <c r="E803" s="9" t="s">
        <v>309</v>
      </c>
      <c r="F803" s="9" t="s">
        <v>30</v>
      </c>
      <c r="G803" s="9" t="s">
        <v>117</v>
      </c>
      <c r="H803" s="8" t="s">
        <v>20</v>
      </c>
      <c r="I803" s="10">
        <v>392620</v>
      </c>
      <c r="J803" s="10">
        <v>5392310</v>
      </c>
      <c r="K803" s="11">
        <v>-41.613700000000001</v>
      </c>
      <c r="L803" s="11">
        <v>145.71118999999999</v>
      </c>
      <c r="N803" s="8" t="s">
        <v>37</v>
      </c>
      <c r="P803" s="8">
        <v>1</v>
      </c>
    </row>
    <row r="804" spans="1:16" x14ac:dyDescent="0.15">
      <c r="A804" s="7" t="s">
        <v>1075</v>
      </c>
      <c r="B804" s="9" t="str">
        <f>VLOOKUP(D804,[1]TASMaps!$H$4:$K$269,3,FALSE)</f>
        <v>TN05</v>
      </c>
      <c r="C804" s="9" t="str">
        <f>VLOOKUP(D804,[1]TASMaps!$H$4:$K$269,4,FALSE)</f>
        <v>Frenchmans</v>
      </c>
      <c r="D804" s="9">
        <v>4031</v>
      </c>
      <c r="E804" s="9" t="s">
        <v>337</v>
      </c>
      <c r="F804" s="9" t="s">
        <v>23</v>
      </c>
      <c r="G804" s="9" t="s">
        <v>24</v>
      </c>
      <c r="H804" s="8" t="s">
        <v>20</v>
      </c>
      <c r="I804" s="10">
        <v>405700</v>
      </c>
      <c r="J804" s="10">
        <v>5319160</v>
      </c>
      <c r="K804" s="11">
        <v>-42.274070000000002</v>
      </c>
      <c r="L804" s="11">
        <v>145.85643999999999</v>
      </c>
      <c r="M804" s="8" t="s">
        <v>21</v>
      </c>
      <c r="N804" s="8" t="s">
        <v>37</v>
      </c>
      <c r="O804" s="8">
        <v>2</v>
      </c>
      <c r="P804" s="8">
        <v>2</v>
      </c>
    </row>
    <row r="805" spans="1:16" x14ac:dyDescent="0.15">
      <c r="A805" s="7" t="s">
        <v>1076</v>
      </c>
      <c r="B805" s="9" t="str">
        <f>VLOOKUP(D805,[1]TASMaps!$H$4:$K$269,3,FALSE)</f>
        <v>TR06</v>
      </c>
      <c r="C805" s="9" t="str">
        <f>VLOOKUP(D805,[1]TASMaps!$H$4:$K$269,4,FALSE)</f>
        <v>Western Arthur</v>
      </c>
      <c r="D805" s="9">
        <v>4422</v>
      </c>
      <c r="E805" s="9" t="s">
        <v>139</v>
      </c>
      <c r="F805" s="9" t="s">
        <v>30</v>
      </c>
      <c r="G805" s="9" t="s">
        <v>27</v>
      </c>
      <c r="H805" s="8" t="s">
        <v>20</v>
      </c>
      <c r="I805" s="10">
        <v>444440</v>
      </c>
      <c r="J805" s="10">
        <v>5221340</v>
      </c>
      <c r="K805" s="11">
        <v>-43.158650000000002</v>
      </c>
      <c r="L805" s="11">
        <v>146.31658999999999</v>
      </c>
      <c r="N805" s="8" t="s">
        <v>37</v>
      </c>
      <c r="O805" s="8">
        <v>3</v>
      </c>
      <c r="P805" s="8">
        <v>3</v>
      </c>
    </row>
    <row r="806" spans="1:16" x14ac:dyDescent="0.15">
      <c r="A806" s="7" t="s">
        <v>1077</v>
      </c>
      <c r="B806" s="9" t="str">
        <f>VLOOKUP(D806,[1]TASMaps!$H$4:$K$269,3,FALSE)</f>
        <v>TP06</v>
      </c>
      <c r="C806" s="9" t="str">
        <f>VLOOKUP(D806,[1]TASMaps!$H$4:$K$269,4,FALSE)</f>
        <v>Denison Range</v>
      </c>
      <c r="D806" s="9">
        <v>4229</v>
      </c>
      <c r="E806" s="9" t="s">
        <v>128</v>
      </c>
      <c r="F806" s="9" t="s">
        <v>30</v>
      </c>
      <c r="G806" s="9" t="s">
        <v>19</v>
      </c>
      <c r="H806" s="8" t="s">
        <v>20</v>
      </c>
      <c r="I806" s="10">
        <v>429910</v>
      </c>
      <c r="J806" s="10">
        <v>5291450</v>
      </c>
      <c r="K806" s="11">
        <v>-42.526150000000001</v>
      </c>
      <c r="L806" s="11">
        <v>146.14662000000001</v>
      </c>
      <c r="N806" s="8" t="s">
        <v>37</v>
      </c>
      <c r="O806" s="8">
        <v>2</v>
      </c>
      <c r="P806" s="8">
        <v>3</v>
      </c>
    </row>
    <row r="807" spans="1:16" x14ac:dyDescent="0.15">
      <c r="A807" s="7" t="s">
        <v>1078</v>
      </c>
      <c r="B807" s="9" t="str">
        <f>VLOOKUP(D807,[1]TASMaps!$H$4:$K$269,3,FALSE)</f>
        <v>TR06</v>
      </c>
      <c r="C807" s="9" t="str">
        <f>VLOOKUP(D807,[1]TASMaps!$H$4:$K$269,4,FALSE)</f>
        <v>Western Arthur</v>
      </c>
      <c r="D807" s="9">
        <v>4422</v>
      </c>
      <c r="E807" s="9" t="s">
        <v>139</v>
      </c>
      <c r="F807" s="9" t="s">
        <v>30</v>
      </c>
      <c r="G807" s="9" t="s">
        <v>27</v>
      </c>
      <c r="H807" s="8" t="s">
        <v>20</v>
      </c>
      <c r="I807" s="10">
        <v>440180</v>
      </c>
      <c r="J807" s="10">
        <v>5222550</v>
      </c>
      <c r="K807" s="11">
        <v>-43.14743</v>
      </c>
      <c r="L807" s="11">
        <v>146.26433</v>
      </c>
      <c r="M807" s="8" t="s">
        <v>21</v>
      </c>
      <c r="N807" s="8">
        <v>3</v>
      </c>
      <c r="O807" s="8">
        <v>3</v>
      </c>
      <c r="P807" s="8">
        <v>4</v>
      </c>
    </row>
    <row r="808" spans="1:16" x14ac:dyDescent="0.15">
      <c r="A808" s="7" t="s">
        <v>1079</v>
      </c>
      <c r="B808" s="9" t="str">
        <f>VLOOKUP(D808,[1]TASMaps!$H$4:$K$269,3,FALSE)</f>
        <v>TM07</v>
      </c>
      <c r="C808" s="9" t="str">
        <f>VLOOKUP(D808,[1]TASMaps!$H$4:$K$269,4,FALSE)</f>
        <v>Penstock</v>
      </c>
      <c r="D808" s="9">
        <v>4635</v>
      </c>
      <c r="E808" s="9" t="s">
        <v>1080</v>
      </c>
      <c r="F808" s="9" t="s">
        <v>18</v>
      </c>
      <c r="G808" s="9" t="s">
        <v>36</v>
      </c>
      <c r="H808" s="8" t="s">
        <v>20</v>
      </c>
      <c r="I808" s="10">
        <v>465570</v>
      </c>
      <c r="J808" s="10">
        <v>5352830</v>
      </c>
      <c r="K808" s="11">
        <v>-41.975769999999997</v>
      </c>
      <c r="L808" s="11">
        <v>146.58443</v>
      </c>
      <c r="N808" s="8" t="s">
        <v>37</v>
      </c>
      <c r="P808" s="8">
        <v>1</v>
      </c>
    </row>
    <row r="809" spans="1:16" x14ac:dyDescent="0.15">
      <c r="A809" s="7" t="s">
        <v>1081</v>
      </c>
      <c r="B809" s="9" t="str">
        <f>VLOOKUP(D809,[1]TASMaps!$H$4:$K$269,3,FALSE)</f>
        <v>TM05</v>
      </c>
      <c r="C809" s="9" t="str">
        <f>VLOOKUP(D809,[1]TASMaps!$H$4:$K$269,4,FALSE)</f>
        <v>Eldon</v>
      </c>
      <c r="D809" s="9">
        <v>3835</v>
      </c>
      <c r="E809" s="9" t="s">
        <v>126</v>
      </c>
      <c r="F809" s="9" t="s">
        <v>227</v>
      </c>
      <c r="G809" s="9" t="s">
        <v>24</v>
      </c>
      <c r="H809" s="8" t="s">
        <v>20</v>
      </c>
      <c r="I809" s="10">
        <v>388560</v>
      </c>
      <c r="J809" s="10">
        <v>5358150</v>
      </c>
      <c r="K809" s="11">
        <v>-41.920740000000002</v>
      </c>
      <c r="L809" s="11">
        <v>145.65607</v>
      </c>
      <c r="N809" s="8" t="s">
        <v>37</v>
      </c>
      <c r="P809" s="8">
        <v>1</v>
      </c>
    </row>
    <row r="810" spans="1:16" x14ac:dyDescent="0.15">
      <c r="A810" s="7" t="s">
        <v>1082</v>
      </c>
      <c r="B810" s="9" t="str">
        <f>VLOOKUP(D810,[1]TASMaps!$H$4:$K$269,3,FALSE)</f>
        <v>TN06</v>
      </c>
      <c r="C810" s="9" t="str">
        <f>VLOOKUP(D810,[1]TASMaps!$H$4:$K$269,4,FALSE)</f>
        <v>King William</v>
      </c>
      <c r="D810" s="9">
        <v>4231</v>
      </c>
      <c r="E810" s="9" t="s">
        <v>361</v>
      </c>
      <c r="F810" s="9" t="s">
        <v>23</v>
      </c>
      <c r="G810" s="9" t="s">
        <v>36</v>
      </c>
      <c r="H810" s="8" t="s">
        <v>20</v>
      </c>
      <c r="I810" s="10">
        <v>430300</v>
      </c>
      <c r="J810" s="10">
        <v>5318870</v>
      </c>
      <c r="K810" s="11">
        <v>-42.279269999999997</v>
      </c>
      <c r="L810" s="11">
        <v>146.15468999999999</v>
      </c>
      <c r="M810" s="8" t="s">
        <v>21</v>
      </c>
      <c r="N810" s="8" t="s">
        <v>37</v>
      </c>
      <c r="O810" s="8">
        <v>1</v>
      </c>
      <c r="P810" s="8">
        <v>1</v>
      </c>
    </row>
    <row r="811" spans="1:16" x14ac:dyDescent="0.15">
      <c r="A811" s="9" t="s">
        <v>1083</v>
      </c>
      <c r="B811" s="9" t="str">
        <f>VLOOKUP(D811,[1]TASMaps!$H$4:$K$269,3,FALSE)</f>
        <v>TL09</v>
      </c>
      <c r="C811" s="9" t="str">
        <f>VLOOKUP(D811,[1]TASMaps!$H$4:$K$269,4,FALSE)</f>
        <v>Avoca</v>
      </c>
      <c r="D811" s="9">
        <v>5637</v>
      </c>
      <c r="E811" s="9" t="s">
        <v>373</v>
      </c>
      <c r="F811" s="9" t="s">
        <v>30</v>
      </c>
      <c r="G811" s="9" t="s">
        <v>44</v>
      </c>
      <c r="H811" s="8" t="s">
        <v>20</v>
      </c>
      <c r="I811" s="10">
        <v>576320</v>
      </c>
      <c r="J811" s="10">
        <v>5376440</v>
      </c>
      <c r="K811" s="11">
        <v>-41.760210000000001</v>
      </c>
      <c r="L811" s="11">
        <v>147.91810000000001</v>
      </c>
      <c r="N811" s="8" t="s">
        <v>37</v>
      </c>
      <c r="P811" s="8">
        <v>1</v>
      </c>
    </row>
    <row r="812" spans="1:16" x14ac:dyDescent="0.15">
      <c r="A812" s="9" t="s">
        <v>1084</v>
      </c>
      <c r="B812" s="9" t="str">
        <f>VLOOKUP(D812,[1]TASMaps!$H$4:$K$269,3,FALSE)</f>
        <v>TL05</v>
      </c>
      <c r="C812" s="9" t="str">
        <f>VLOOKUP(D812,[1]TASMaps!$H$4:$K$269,4,FALSE)</f>
        <v>Murchison</v>
      </c>
      <c r="D812" s="9">
        <v>4038</v>
      </c>
      <c r="E812" s="9" t="s">
        <v>90</v>
      </c>
      <c r="F812" s="9" t="s">
        <v>23</v>
      </c>
      <c r="G812" s="9" t="s">
        <v>142</v>
      </c>
      <c r="H812" s="8" t="s">
        <v>20</v>
      </c>
      <c r="I812" s="10">
        <v>412810</v>
      </c>
      <c r="J812" s="10">
        <v>5385010</v>
      </c>
      <c r="K812" s="11">
        <v>-41.681910000000002</v>
      </c>
      <c r="L812" s="11">
        <v>145.95240999999999</v>
      </c>
      <c r="N812" s="8" t="s">
        <v>37</v>
      </c>
      <c r="P812" s="8">
        <v>1</v>
      </c>
    </row>
    <row r="813" spans="1:16" x14ac:dyDescent="0.15">
      <c r="A813" s="7" t="s">
        <v>1085</v>
      </c>
      <c r="B813" s="9" t="str">
        <f>VLOOKUP(D813,[1]TASMaps!$H$4:$K$269,3,FALSE)</f>
        <v>TM07</v>
      </c>
      <c r="C813" s="9" t="str">
        <f>VLOOKUP(D813,[1]TASMaps!$H$4:$K$269,4,FALSE)</f>
        <v>Penstock</v>
      </c>
      <c r="D813" s="9">
        <v>4634</v>
      </c>
      <c r="E813" s="9" t="s">
        <v>120</v>
      </c>
      <c r="F813" s="9" t="s">
        <v>104</v>
      </c>
      <c r="G813" s="9" t="s">
        <v>36</v>
      </c>
      <c r="H813" s="8" t="s">
        <v>20</v>
      </c>
      <c r="I813" s="10">
        <v>468660</v>
      </c>
      <c r="J813" s="10">
        <v>5343740</v>
      </c>
      <c r="K813" s="11">
        <v>-42.057769999999998</v>
      </c>
      <c r="L813" s="11">
        <v>146.62124</v>
      </c>
      <c r="N813" s="8" t="s">
        <v>37</v>
      </c>
      <c r="P813" s="8">
        <v>1</v>
      </c>
    </row>
    <row r="814" spans="1:16" x14ac:dyDescent="0.15">
      <c r="A814" s="9" t="s">
        <v>1086</v>
      </c>
      <c r="B814" s="9" t="str">
        <f>VLOOKUP(D814,[1]TASMaps!$H$4:$K$269,3,FALSE)</f>
        <v>TQ08</v>
      </c>
      <c r="C814" s="9" t="str">
        <f>VLOOKUP(D814,[1]TASMaps!$H$4:$K$269,4,FALSE)</f>
        <v>Wellington</v>
      </c>
      <c r="D814" s="9">
        <v>5026</v>
      </c>
      <c r="E814" s="9" t="s">
        <v>505</v>
      </c>
      <c r="F814" s="9" t="s">
        <v>30</v>
      </c>
      <c r="G814" s="9" t="s">
        <v>19</v>
      </c>
      <c r="H814" s="8" t="s">
        <v>20</v>
      </c>
      <c r="I814" s="10">
        <v>516660</v>
      </c>
      <c r="J814" s="10">
        <v>5265070</v>
      </c>
      <c r="K814" s="11">
        <v>-42.766719999999999</v>
      </c>
      <c r="L814" s="11">
        <v>147.20363</v>
      </c>
      <c r="N814" s="8" t="s">
        <v>37</v>
      </c>
      <c r="P814" s="8">
        <v>1</v>
      </c>
    </row>
    <row r="815" spans="1:16" x14ac:dyDescent="0.15">
      <c r="A815" s="9" t="s">
        <v>1087</v>
      </c>
      <c r="B815" s="9" t="str">
        <f>VLOOKUP(D815,[1]TASMaps!$H$4:$K$269,3,FALSE)</f>
        <v>TN05</v>
      </c>
      <c r="C815" s="9" t="str">
        <f>VLOOKUP(D815,[1]TASMaps!$H$4:$K$269,4,FALSE)</f>
        <v>Frenchmans</v>
      </c>
      <c r="D815" s="9">
        <v>3832</v>
      </c>
      <c r="E815" s="9" t="s">
        <v>235</v>
      </c>
      <c r="F815" s="9" t="s">
        <v>23</v>
      </c>
      <c r="G815" s="9" t="s">
        <v>24</v>
      </c>
      <c r="H815" s="8" t="s">
        <v>20</v>
      </c>
      <c r="I815" s="10">
        <v>383800</v>
      </c>
      <c r="J815" s="10">
        <v>5326270</v>
      </c>
      <c r="K815" s="11">
        <v>-42.207099999999997</v>
      </c>
      <c r="L815" s="11">
        <v>145.59236000000001</v>
      </c>
      <c r="N815" s="8" t="s">
        <v>37</v>
      </c>
      <c r="P815" s="8">
        <v>1</v>
      </c>
    </row>
    <row r="816" spans="1:16" x14ac:dyDescent="0.15">
      <c r="A816" s="7" t="s">
        <v>1088</v>
      </c>
      <c r="B816" s="9" t="str">
        <f>VLOOKUP(D816,[1]TASMaps!$H$4:$K$269,3,FALSE)</f>
        <v>TM09</v>
      </c>
      <c r="C816" s="9" t="str">
        <f>VLOOKUP(D816,[1]TASMaps!$H$4:$K$269,4,FALSE)</f>
        <v>Lake Leake</v>
      </c>
      <c r="D816" s="9">
        <v>5635</v>
      </c>
      <c r="E816" s="9" t="s">
        <v>1089</v>
      </c>
      <c r="F816" s="9" t="s">
        <v>18</v>
      </c>
      <c r="G816" s="9" t="s">
        <v>78</v>
      </c>
      <c r="H816" s="8" t="s">
        <v>20</v>
      </c>
      <c r="I816" s="10">
        <v>569345</v>
      </c>
      <c r="J816" s="10">
        <v>5359185</v>
      </c>
      <c r="K816" s="11">
        <v>-41.916240000000002</v>
      </c>
      <c r="L816" s="11">
        <v>147.83622</v>
      </c>
      <c r="N816" s="8" t="s">
        <v>37</v>
      </c>
      <c r="O816" s="8">
        <v>2</v>
      </c>
      <c r="P816" s="8">
        <v>1</v>
      </c>
    </row>
    <row r="817" spans="1:16" x14ac:dyDescent="0.15">
      <c r="A817" s="9" t="s">
        <v>1090</v>
      </c>
      <c r="B817" s="9" t="str">
        <f>VLOOKUP(D817,[1]TASMaps!$H$4:$K$269,3,FALSE)</f>
        <v>TM08</v>
      </c>
      <c r="C817" s="9" t="str">
        <f>VLOOKUP(D817,[1]TASMaps!$H$4:$K$269,4,FALSE)</f>
        <v>Dogs Head Tier</v>
      </c>
      <c r="D817" s="9">
        <v>5035</v>
      </c>
      <c r="E817" s="9" t="s">
        <v>626</v>
      </c>
      <c r="F817" s="9" t="s">
        <v>18</v>
      </c>
      <c r="G817" s="9" t="s">
        <v>36</v>
      </c>
      <c r="H817" s="8" t="s">
        <v>20</v>
      </c>
      <c r="I817" s="10">
        <v>501040</v>
      </c>
      <c r="J817" s="10">
        <v>5356160</v>
      </c>
      <c r="K817" s="11">
        <v>-41.946530000000003</v>
      </c>
      <c r="L817" s="11">
        <v>147.01255</v>
      </c>
      <c r="N817" s="8" t="s">
        <v>37</v>
      </c>
      <c r="P817" s="8">
        <v>1</v>
      </c>
    </row>
    <row r="818" spans="1:16" x14ac:dyDescent="0.15">
      <c r="A818" s="7" t="s">
        <v>1091</v>
      </c>
      <c r="B818" s="9" t="str">
        <f>VLOOKUP(D818,[1]TASMaps!$H$4:$K$269,3,FALSE)</f>
        <v>TQ07</v>
      </c>
      <c r="C818" s="9" t="str">
        <f>VLOOKUP(D818,[1]TASMaps!$H$4:$K$269,4,FALSE)</f>
        <v>Snowy Range</v>
      </c>
      <c r="D818" s="9">
        <v>4625</v>
      </c>
      <c r="E818" s="9" t="s">
        <v>684</v>
      </c>
      <c r="F818" s="9" t="s">
        <v>30</v>
      </c>
      <c r="G818" s="9" t="s">
        <v>19</v>
      </c>
      <c r="H818" s="8" t="s">
        <v>20</v>
      </c>
      <c r="I818" s="10">
        <v>471100</v>
      </c>
      <c r="J818" s="10">
        <v>5254590</v>
      </c>
      <c r="K818" s="11">
        <v>-42.860729999999997</v>
      </c>
      <c r="L818" s="11">
        <v>146.64623</v>
      </c>
      <c r="M818" s="8" t="s">
        <v>21</v>
      </c>
      <c r="N818" s="8" t="s">
        <v>37</v>
      </c>
      <c r="O818" s="8">
        <v>1</v>
      </c>
      <c r="P818" s="8">
        <v>2</v>
      </c>
    </row>
    <row r="819" spans="1:16" x14ac:dyDescent="0.15">
      <c r="A819" s="7" t="s">
        <v>1092</v>
      </c>
      <c r="B819" s="9" t="str">
        <f>VLOOKUP(D819,[1]TASMaps!$H$4:$K$269,3,FALSE)</f>
        <v>TQ07</v>
      </c>
      <c r="C819" s="9" t="str">
        <f>VLOOKUP(D819,[1]TASMaps!$H$4:$K$269,4,FALSE)</f>
        <v>Snowy Range</v>
      </c>
      <c r="D819" s="9">
        <v>4624</v>
      </c>
      <c r="E819" s="9" t="s">
        <v>568</v>
      </c>
      <c r="F819" s="9" t="s">
        <v>30</v>
      </c>
      <c r="G819" s="9" t="s">
        <v>27</v>
      </c>
      <c r="H819" s="8" t="s">
        <v>20</v>
      </c>
      <c r="I819" s="10">
        <v>472120</v>
      </c>
      <c r="J819" s="10">
        <v>5245510</v>
      </c>
      <c r="K819" s="11">
        <v>-42.942529999999998</v>
      </c>
      <c r="L819" s="11">
        <v>146.65826999999999</v>
      </c>
      <c r="M819" s="8" t="s">
        <v>21</v>
      </c>
      <c r="N819" s="8">
        <v>2</v>
      </c>
      <c r="O819" s="8">
        <v>2</v>
      </c>
      <c r="P819" s="8">
        <v>3</v>
      </c>
    </row>
    <row r="820" spans="1:16" x14ac:dyDescent="0.15">
      <c r="A820" s="7" t="s">
        <v>1093</v>
      </c>
      <c r="B820" s="9" t="str">
        <f>VLOOKUP(D820,[1]TASMaps!$H$4:$K$269,3,FALSE)</f>
        <v>TR07</v>
      </c>
      <c r="C820" s="9" t="str">
        <f>VLOOKUP(D820,[1]TASMaps!$H$4:$K$269,4,FALSE)</f>
        <v>Hartz</v>
      </c>
      <c r="D820" s="9">
        <v>4821</v>
      </c>
      <c r="E820" s="9" t="s">
        <v>609</v>
      </c>
      <c r="F820" s="9" t="s">
        <v>30</v>
      </c>
      <c r="G820" s="9" t="s">
        <v>27</v>
      </c>
      <c r="H820" s="8" t="s">
        <v>20</v>
      </c>
      <c r="I820" s="10">
        <v>481990</v>
      </c>
      <c r="J820" s="10">
        <v>5211190</v>
      </c>
      <c r="K820" s="11">
        <v>-43.25188</v>
      </c>
      <c r="L820" s="11">
        <v>146.77813</v>
      </c>
      <c r="N820" s="8" t="s">
        <v>37</v>
      </c>
      <c r="O820" s="8">
        <v>1</v>
      </c>
      <c r="P820" s="8">
        <v>1</v>
      </c>
    </row>
    <row r="821" spans="1:16" x14ac:dyDescent="0.15">
      <c r="A821" s="7" t="s">
        <v>1094</v>
      </c>
      <c r="B821" s="9" t="str">
        <f>VLOOKUP(D821,[1]TASMaps!$H$4:$K$269,3,FALSE)</f>
        <v>TM08</v>
      </c>
      <c r="C821" s="9" t="str">
        <f>VLOOKUP(D821,[1]TASMaps!$H$4:$K$269,4,FALSE)</f>
        <v>Dogs Head Tier</v>
      </c>
      <c r="D821" s="9">
        <v>5033</v>
      </c>
      <c r="E821" s="9" t="s">
        <v>54</v>
      </c>
      <c r="F821" s="9" t="s">
        <v>18</v>
      </c>
      <c r="G821" s="9" t="s">
        <v>36</v>
      </c>
      <c r="H821" s="8" t="s">
        <v>20</v>
      </c>
      <c r="I821" s="10">
        <v>500480</v>
      </c>
      <c r="J821" s="10">
        <v>5329590</v>
      </c>
      <c r="K821" s="11">
        <v>-42.185839999999999</v>
      </c>
      <c r="L821" s="11">
        <v>147.00581</v>
      </c>
      <c r="N821" s="8" t="s">
        <v>37</v>
      </c>
      <c r="P821" s="8">
        <v>1</v>
      </c>
    </row>
    <row r="822" spans="1:16" x14ac:dyDescent="0.15">
      <c r="A822" s="7" t="s">
        <v>1095</v>
      </c>
      <c r="B822" s="9" t="str">
        <f>VLOOKUP(D822,[1]TASMaps!$H$4:$K$269,3,FALSE)</f>
        <v>TQ06</v>
      </c>
      <c r="C822" s="9" t="str">
        <f>VLOOKUP(D822,[1]TASMaps!$H$4:$K$269,4,FALSE)</f>
        <v>Lake Pedder</v>
      </c>
      <c r="D822" s="9">
        <v>4224</v>
      </c>
      <c r="E822" s="9" t="s">
        <v>300</v>
      </c>
      <c r="F822" s="9" t="s">
        <v>30</v>
      </c>
      <c r="G822" s="9" t="s">
        <v>19</v>
      </c>
      <c r="H822" s="8" t="s">
        <v>20</v>
      </c>
      <c r="I822" s="10">
        <v>438890</v>
      </c>
      <c r="J822" s="10">
        <v>5243680</v>
      </c>
      <c r="K822" s="11">
        <v>-42.957070000000002</v>
      </c>
      <c r="L822" s="11">
        <v>146.25077999999999</v>
      </c>
      <c r="N822" s="8">
        <v>3</v>
      </c>
      <c r="O822" s="8">
        <v>3</v>
      </c>
      <c r="P822" s="8">
        <v>2</v>
      </c>
    </row>
    <row r="823" spans="1:16" x14ac:dyDescent="0.15">
      <c r="A823" s="7" t="s">
        <v>1096</v>
      </c>
      <c r="B823" s="9" t="str">
        <f>VLOOKUP(D823,[1]TASMaps!$H$4:$K$269,3,FALSE)</f>
        <v>TL06</v>
      </c>
      <c r="C823" s="9" t="str">
        <f>VLOOKUP(D823,[1]TASMaps!$H$4:$K$269,4,FALSE)</f>
        <v>Jerusalem</v>
      </c>
      <c r="D823" s="9">
        <v>4436</v>
      </c>
      <c r="E823" s="9" t="s">
        <v>581</v>
      </c>
      <c r="F823" s="9" t="s">
        <v>135</v>
      </c>
      <c r="G823" s="9" t="s">
        <v>33</v>
      </c>
      <c r="H823" s="8" t="s">
        <v>20</v>
      </c>
      <c r="I823" s="10">
        <v>441610</v>
      </c>
      <c r="J823" s="10">
        <v>5369480</v>
      </c>
      <c r="K823" s="11">
        <v>-41.82441</v>
      </c>
      <c r="L823" s="11">
        <v>146.29688999999999</v>
      </c>
      <c r="N823" s="8" t="s">
        <v>37</v>
      </c>
      <c r="O823" s="8">
        <v>1</v>
      </c>
      <c r="P823" s="8">
        <v>2</v>
      </c>
    </row>
    <row r="824" spans="1:16" x14ac:dyDescent="0.15">
      <c r="A824" s="7" t="s">
        <v>1097</v>
      </c>
      <c r="B824" s="9" t="str">
        <f>VLOOKUP(D824,[1]TASMaps!$H$4:$K$269,3,FALSE)</f>
        <v>TL05</v>
      </c>
      <c r="C824" s="9" t="str">
        <f>VLOOKUP(D824,[1]TASMaps!$H$4:$K$269,4,FALSE)</f>
        <v>Murchison</v>
      </c>
      <c r="D824" s="9">
        <v>3837</v>
      </c>
      <c r="E824" s="9" t="s">
        <v>194</v>
      </c>
      <c r="F824" s="9" t="s">
        <v>23</v>
      </c>
      <c r="G824" s="9" t="s">
        <v>24</v>
      </c>
      <c r="H824" s="8" t="s">
        <v>20</v>
      </c>
      <c r="I824" s="10">
        <v>392740</v>
      </c>
      <c r="J824" s="10">
        <v>5370950</v>
      </c>
      <c r="K824" s="11">
        <v>-41.806060000000002</v>
      </c>
      <c r="L824" s="11">
        <v>145.70878999999999</v>
      </c>
      <c r="N824" s="8" t="s">
        <v>37</v>
      </c>
      <c r="O824" s="8">
        <v>2</v>
      </c>
      <c r="P824" s="8">
        <v>2</v>
      </c>
    </row>
    <row r="825" spans="1:16" x14ac:dyDescent="0.15">
      <c r="A825" s="7" t="s">
        <v>1098</v>
      </c>
      <c r="B825" s="9" t="str">
        <f>VLOOKUP(D825,[1]TASMaps!$H$4:$K$269,3,FALSE)</f>
        <v>TN04</v>
      </c>
      <c r="C825" s="9" t="str">
        <f>VLOOKUP(D825,[1]TASMaps!$H$4:$K$269,4,FALSE)</f>
        <v>Macquarie Harbour</v>
      </c>
      <c r="D825" s="9">
        <v>3631</v>
      </c>
      <c r="E825" s="9" t="s">
        <v>1099</v>
      </c>
      <c r="F825" s="9" t="s">
        <v>30</v>
      </c>
      <c r="G825" s="9" t="s">
        <v>24</v>
      </c>
      <c r="H825" s="8" t="s">
        <v>20</v>
      </c>
      <c r="I825" s="10">
        <v>379800</v>
      </c>
      <c r="J825" s="10">
        <v>5318990</v>
      </c>
      <c r="K825" s="11">
        <v>-42.272039999999997</v>
      </c>
      <c r="L825" s="11">
        <v>145.54240999999999</v>
      </c>
      <c r="M825" s="8" t="s">
        <v>21</v>
      </c>
      <c r="N825" s="8">
        <v>3</v>
      </c>
      <c r="O825" s="8">
        <v>3</v>
      </c>
      <c r="P825" s="8">
        <v>3</v>
      </c>
    </row>
    <row r="826" spans="1:16" x14ac:dyDescent="0.15">
      <c r="A826" s="7" t="s">
        <v>1100</v>
      </c>
      <c r="B826" s="9" t="str">
        <f>VLOOKUP(D826,[1]TASMaps!$H$4:$K$269,3,FALSE)</f>
        <v>TK08</v>
      </c>
      <c r="C826" s="9" t="str">
        <f>VLOOKUP(D826,[1]TASMaps!$H$4:$K$269,4,FALSE)</f>
        <v>Perth</v>
      </c>
      <c r="D826" s="9">
        <v>5241</v>
      </c>
      <c r="E826" s="9" t="s">
        <v>122</v>
      </c>
      <c r="F826" s="9" t="s">
        <v>30</v>
      </c>
      <c r="G826" s="9" t="s">
        <v>87</v>
      </c>
      <c r="H826" s="8" t="s">
        <v>20</v>
      </c>
      <c r="I826" s="10">
        <v>535720</v>
      </c>
      <c r="J826" s="10">
        <v>5417680</v>
      </c>
      <c r="K826" s="11">
        <v>-41.391620000000003</v>
      </c>
      <c r="L826" s="11">
        <v>147.42725999999999</v>
      </c>
      <c r="N826" s="8" t="s">
        <v>37</v>
      </c>
      <c r="P826" s="8">
        <v>1</v>
      </c>
    </row>
    <row r="827" spans="1:16" x14ac:dyDescent="0.15">
      <c r="A827" s="9" t="s">
        <v>1101</v>
      </c>
      <c r="B827" s="9" t="str">
        <f>VLOOKUP(D827,[1]TASMaps!$H$4:$K$269,3,FALSE)</f>
        <v>TT06</v>
      </c>
      <c r="C827" s="9" t="str">
        <f>VLOOKUP(D827,[1]TASMaps!$H$4:$K$269,4,FALSE)</f>
        <v>South Coast</v>
      </c>
      <c r="D827" s="9">
        <v>4617</v>
      </c>
      <c r="E827" s="9" t="s">
        <v>1102</v>
      </c>
      <c r="F827" s="9" t="s">
        <v>104</v>
      </c>
      <c r="G827" s="9" t="s">
        <v>27</v>
      </c>
      <c r="H827" s="8" t="s">
        <v>20</v>
      </c>
      <c r="I827" s="10">
        <v>474600</v>
      </c>
      <c r="J827" s="10">
        <v>5175230</v>
      </c>
      <c r="K827" s="11">
        <v>-43.57546</v>
      </c>
      <c r="L827" s="11">
        <v>146.68541999999999</v>
      </c>
      <c r="N827" s="8" t="s">
        <v>37</v>
      </c>
      <c r="P827" s="8">
        <v>1</v>
      </c>
    </row>
    <row r="828" spans="1:16" x14ac:dyDescent="0.15">
      <c r="A828" s="7" t="s">
        <v>1103</v>
      </c>
      <c r="B828" s="9" t="str">
        <f>VLOOKUP(D828,[1]TASMaps!$H$4:$K$269,3,FALSE)</f>
        <v>TN05</v>
      </c>
      <c r="C828" s="9" t="str">
        <f>VLOOKUP(D828,[1]TASMaps!$H$4:$K$269,4,FALSE)</f>
        <v>Frenchmans</v>
      </c>
      <c r="D828" s="9">
        <v>3831</v>
      </c>
      <c r="E828" s="9" t="s">
        <v>1104</v>
      </c>
      <c r="F828" s="9" t="s">
        <v>23</v>
      </c>
      <c r="G828" s="9" t="s">
        <v>24</v>
      </c>
      <c r="H828" s="8" t="s">
        <v>20</v>
      </c>
      <c r="I828" s="10">
        <v>383490</v>
      </c>
      <c r="J828" s="10">
        <v>5316480</v>
      </c>
      <c r="K828" s="11">
        <v>-42.295200000000001</v>
      </c>
      <c r="L828" s="11">
        <v>145.58663999999999</v>
      </c>
      <c r="N828" s="8" t="s">
        <v>37</v>
      </c>
      <c r="O828" s="8">
        <v>1</v>
      </c>
      <c r="P828" s="8">
        <v>1</v>
      </c>
    </row>
    <row r="829" spans="1:16" x14ac:dyDescent="0.15">
      <c r="A829" s="9" t="s">
        <v>1105</v>
      </c>
      <c r="B829" s="9" t="str">
        <f>VLOOKUP(D829,[1]TASMaps!$H$4:$K$269,3,FALSE)</f>
        <v>TL05</v>
      </c>
      <c r="C829" s="9" t="str">
        <f>VLOOKUP(D829,[1]TASMaps!$H$4:$K$269,4,FALSE)</f>
        <v>Murchison</v>
      </c>
      <c r="D829" s="9">
        <v>3837</v>
      </c>
      <c r="E829" s="9" t="s">
        <v>194</v>
      </c>
      <c r="F829" s="9" t="s">
        <v>30</v>
      </c>
      <c r="G829" s="9" t="s">
        <v>24</v>
      </c>
      <c r="H829" s="8" t="s">
        <v>20</v>
      </c>
      <c r="I829" s="10">
        <v>387920</v>
      </c>
      <c r="J829" s="10">
        <v>5375360</v>
      </c>
      <c r="K829" s="11">
        <v>-41.765689999999999</v>
      </c>
      <c r="L829" s="11">
        <v>145.65161000000001</v>
      </c>
      <c r="N829" s="8" t="s">
        <v>37</v>
      </c>
      <c r="P829" s="8">
        <v>1</v>
      </c>
    </row>
    <row r="830" spans="1:16" x14ac:dyDescent="0.15">
      <c r="A830" s="7" t="s">
        <v>1106</v>
      </c>
      <c r="B830" s="9" t="str">
        <f>VLOOKUP(D830,[1]TASMaps!$H$4:$K$269,3,FALSE)</f>
        <v>TN05</v>
      </c>
      <c r="C830" s="9" t="str">
        <f>VLOOKUP(D830,[1]TASMaps!$H$4:$K$269,4,FALSE)</f>
        <v>Frenchmans</v>
      </c>
      <c r="D830" s="9">
        <v>3832</v>
      </c>
      <c r="E830" s="9" t="s">
        <v>235</v>
      </c>
      <c r="F830" s="9" t="s">
        <v>23</v>
      </c>
      <c r="G830" s="9" t="s">
        <v>24</v>
      </c>
      <c r="H830" s="8" t="s">
        <v>20</v>
      </c>
      <c r="I830" s="10">
        <v>383490</v>
      </c>
      <c r="J830" s="10">
        <v>5327460</v>
      </c>
      <c r="K830" s="11">
        <v>-42.196339999999999</v>
      </c>
      <c r="L830" s="11">
        <v>145.58884</v>
      </c>
      <c r="N830" s="8" t="s">
        <v>37</v>
      </c>
      <c r="P830" s="8">
        <v>1</v>
      </c>
    </row>
    <row r="831" spans="1:16" x14ac:dyDescent="0.15">
      <c r="A831" s="9" t="s">
        <v>1107</v>
      </c>
      <c r="B831" s="9" t="str">
        <f>VLOOKUP(D831,[1]TASMaps!$H$4:$K$269,3,FALSE)</f>
        <v>TQ06</v>
      </c>
      <c r="C831" s="9" t="str">
        <f>VLOOKUP(D831,[1]TASMaps!$H$4:$K$269,4,FALSE)</f>
        <v>Lake Pedder</v>
      </c>
      <c r="D831" s="9">
        <v>4425</v>
      </c>
      <c r="E831" s="9" t="s">
        <v>224</v>
      </c>
      <c r="F831" s="9" t="s">
        <v>30</v>
      </c>
      <c r="G831" s="9" t="s">
        <v>19</v>
      </c>
      <c r="H831" s="8" t="s">
        <v>20</v>
      </c>
      <c r="I831" s="10">
        <v>451490</v>
      </c>
      <c r="J831" s="10">
        <v>5252900</v>
      </c>
      <c r="K831" s="11">
        <v>-42.874949999999998</v>
      </c>
      <c r="L831" s="11">
        <v>146.40604999999999</v>
      </c>
      <c r="N831" s="8" t="s">
        <v>37</v>
      </c>
      <c r="P831" s="8">
        <v>1</v>
      </c>
    </row>
    <row r="832" spans="1:16" x14ac:dyDescent="0.15">
      <c r="A832" s="7" t="s">
        <v>1108</v>
      </c>
      <c r="B832" s="9" t="str">
        <f>VLOOKUP(D832,[1]TASMaps!$H$4:$K$269,3,FALSE)</f>
        <v>TK10</v>
      </c>
      <c r="C832" s="9" t="str">
        <f>VLOOKUP(D832,[1]TASMaps!$H$4:$K$269,4,FALSE)</f>
        <v>Nicholas</v>
      </c>
      <c r="D832" s="9">
        <v>5840</v>
      </c>
      <c r="E832" s="9" t="s">
        <v>659</v>
      </c>
      <c r="F832" s="9" t="s">
        <v>18</v>
      </c>
      <c r="G832" s="9" t="s">
        <v>44</v>
      </c>
      <c r="H832" s="8" t="s">
        <v>20</v>
      </c>
      <c r="I832" s="10">
        <v>597820</v>
      </c>
      <c r="J832" s="10">
        <v>5401290</v>
      </c>
      <c r="K832" s="11">
        <v>-41.534059999999997</v>
      </c>
      <c r="L832" s="11">
        <v>148.17261999999999</v>
      </c>
      <c r="N832" s="8" t="s">
        <v>37</v>
      </c>
      <c r="P832" s="8">
        <v>1</v>
      </c>
    </row>
    <row r="833" spans="1:16" x14ac:dyDescent="0.15">
      <c r="A833" s="7" t="s">
        <v>1109</v>
      </c>
      <c r="B833" s="9" t="str">
        <f>VLOOKUP(D833,[1]TASMaps!$H$4:$K$269,3,FALSE)</f>
        <v>TP06</v>
      </c>
      <c r="C833" s="9" t="str">
        <f>VLOOKUP(D833,[1]TASMaps!$H$4:$K$269,4,FALSE)</f>
        <v>Denison Range</v>
      </c>
      <c r="D833" s="9">
        <v>4228</v>
      </c>
      <c r="E833" s="9" t="s">
        <v>305</v>
      </c>
      <c r="F833" s="9" t="s">
        <v>30</v>
      </c>
      <c r="G833" s="9" t="s">
        <v>19</v>
      </c>
      <c r="H833" s="8" t="s">
        <v>20</v>
      </c>
      <c r="I833" s="10">
        <v>437230</v>
      </c>
      <c r="J833" s="10">
        <v>5283880</v>
      </c>
      <c r="K833" s="11">
        <v>-42.594949999999997</v>
      </c>
      <c r="L833" s="11">
        <v>146.23490000000001</v>
      </c>
      <c r="N833" s="8" t="s">
        <v>37</v>
      </c>
      <c r="O833" s="8">
        <v>2</v>
      </c>
      <c r="P833" s="8">
        <v>2</v>
      </c>
    </row>
    <row r="834" spans="1:16" x14ac:dyDescent="0.15">
      <c r="A834" s="9" t="s">
        <v>1110</v>
      </c>
      <c r="B834" s="9" t="str">
        <f>VLOOKUP(D834,[1]TASMaps!$H$4:$K$269,3,FALSE)</f>
        <v>TP06</v>
      </c>
      <c r="C834" s="9" t="str">
        <f>VLOOKUP(D834,[1]TASMaps!$H$4:$K$269,4,FALSE)</f>
        <v>Denison Range</v>
      </c>
      <c r="D834" s="9">
        <v>4427</v>
      </c>
      <c r="E834" s="9" t="s">
        <v>327</v>
      </c>
      <c r="F834" s="9" t="s">
        <v>23</v>
      </c>
      <c r="G834" s="9" t="s">
        <v>19</v>
      </c>
      <c r="H834" s="8" t="s">
        <v>20</v>
      </c>
      <c r="I834" s="10">
        <v>447690</v>
      </c>
      <c r="J834" s="10">
        <v>5273430</v>
      </c>
      <c r="K834" s="11">
        <v>-42.689830000000001</v>
      </c>
      <c r="L834" s="11">
        <v>146.36143000000001</v>
      </c>
      <c r="N834" s="8" t="s">
        <v>37</v>
      </c>
      <c r="P834" s="8">
        <v>1</v>
      </c>
    </row>
    <row r="835" spans="1:16" x14ac:dyDescent="0.15">
      <c r="A835" s="7" t="s">
        <v>1111</v>
      </c>
      <c r="B835" s="9" t="str">
        <f>VLOOKUP(D835,[1]TASMaps!$H$4:$K$269,3,FALSE)</f>
        <v>TQ08</v>
      </c>
      <c r="C835" s="9" t="str">
        <f>VLOOKUP(D835,[1]TASMaps!$H$4:$K$269,4,FALSE)</f>
        <v>Wellington</v>
      </c>
      <c r="D835" s="9">
        <v>5024</v>
      </c>
      <c r="E835" s="9" t="s">
        <v>256</v>
      </c>
      <c r="F835" s="9" t="s">
        <v>30</v>
      </c>
      <c r="G835" s="9" t="s">
        <v>110</v>
      </c>
      <c r="H835" s="8" t="s">
        <v>20</v>
      </c>
      <c r="I835" s="10">
        <v>518860</v>
      </c>
      <c r="J835" s="10">
        <v>5248510</v>
      </c>
      <c r="K835" s="11">
        <v>-42.915799999999997</v>
      </c>
      <c r="L835" s="11">
        <v>147.23106999999999</v>
      </c>
      <c r="N835" s="8" t="s">
        <v>37</v>
      </c>
      <c r="P835" s="8">
        <v>1</v>
      </c>
    </row>
    <row r="836" spans="1:16" x14ac:dyDescent="0.15">
      <c r="A836" s="7" t="s">
        <v>1112</v>
      </c>
      <c r="B836" s="9" t="str">
        <f>VLOOKUP(D836,[1]TASMaps!$H$4:$K$269,3,FALSE)</f>
        <v>TS06</v>
      </c>
      <c r="C836" s="9" t="str">
        <f>VLOOKUP(D836,[1]TASMaps!$H$4:$K$269,4,FALSE)</f>
        <v>Bathurst</v>
      </c>
      <c r="D836" s="9">
        <v>4218</v>
      </c>
      <c r="E836" s="9" t="s">
        <v>237</v>
      </c>
      <c r="F836" s="9" t="s">
        <v>104</v>
      </c>
      <c r="G836" s="9" t="s">
        <v>27</v>
      </c>
      <c r="H836" s="8" t="s">
        <v>20</v>
      </c>
      <c r="I836" s="10">
        <v>423040</v>
      </c>
      <c r="J836" s="10">
        <v>5184330</v>
      </c>
      <c r="K836" s="11">
        <v>-43.489989999999999</v>
      </c>
      <c r="L836" s="11">
        <v>146.04821000000001</v>
      </c>
      <c r="N836" s="8" t="s">
        <v>37</v>
      </c>
      <c r="O836" s="8">
        <v>2</v>
      </c>
      <c r="P836" s="8">
        <v>2</v>
      </c>
    </row>
    <row r="837" spans="1:16" x14ac:dyDescent="0.15">
      <c r="A837" s="9" t="s">
        <v>1113</v>
      </c>
      <c r="B837" s="9" t="str">
        <f>VLOOKUP(D837,[1]TASMaps!$H$4:$K$269,3,FALSE)</f>
        <v>TH09</v>
      </c>
      <c r="C837" s="9" t="str">
        <f>VLOOKUP(D837,[1]TASMaps!$H$4:$K$269,4,FALSE)</f>
        <v>Boobyalla</v>
      </c>
      <c r="D837" s="9">
        <v>5646</v>
      </c>
      <c r="E837" s="9" t="s">
        <v>268</v>
      </c>
      <c r="F837" s="9" t="s">
        <v>23</v>
      </c>
      <c r="G837" s="9" t="s">
        <v>210</v>
      </c>
      <c r="H837" s="8" t="s">
        <v>20</v>
      </c>
      <c r="I837" s="10">
        <v>578230</v>
      </c>
      <c r="J837" s="10">
        <v>5462200</v>
      </c>
      <c r="K837" s="11">
        <v>-40.987630000000003</v>
      </c>
      <c r="L837" s="11">
        <v>147.93001000000001</v>
      </c>
      <c r="N837" s="8" t="s">
        <v>37</v>
      </c>
      <c r="P837" s="8">
        <v>1</v>
      </c>
    </row>
    <row r="838" spans="1:16" x14ac:dyDescent="0.15">
      <c r="A838" s="7" t="s">
        <v>1114</v>
      </c>
      <c r="B838" s="9" t="str">
        <f>VLOOKUP(D838,[1]TASMaps!$H$4:$K$269,3,FALSE)</f>
        <v>TP06</v>
      </c>
      <c r="C838" s="9" t="str">
        <f>VLOOKUP(D838,[1]TASMaps!$H$4:$K$269,4,FALSE)</f>
        <v>Denison Range</v>
      </c>
      <c r="D838" s="9">
        <v>4229</v>
      </c>
      <c r="E838" s="9" t="s">
        <v>128</v>
      </c>
      <c r="F838" s="9" t="s">
        <v>30</v>
      </c>
      <c r="G838" s="9" t="s">
        <v>19</v>
      </c>
      <c r="H838" s="8" t="s">
        <v>20</v>
      </c>
      <c r="I838" s="10">
        <v>426960</v>
      </c>
      <c r="J838" s="10">
        <v>5291040</v>
      </c>
      <c r="K838" s="11">
        <v>-42.52957</v>
      </c>
      <c r="L838" s="11">
        <v>146.11064999999999</v>
      </c>
      <c r="N838" s="8" t="s">
        <v>37</v>
      </c>
      <c r="O838" s="8">
        <v>2</v>
      </c>
      <c r="P838" s="8">
        <v>2</v>
      </c>
    </row>
    <row r="839" spans="1:16" x14ac:dyDescent="0.15">
      <c r="A839" s="9" t="s">
        <v>1115</v>
      </c>
      <c r="B839" s="9" t="str">
        <f>VLOOKUP(D839,[1]TASMaps!$H$4:$K$269,3,FALSE)</f>
        <v>TK05</v>
      </c>
      <c r="C839" s="9" t="str">
        <f>VLOOKUP(D839,[1]TASMaps!$H$4:$K$269,4,FALSE)</f>
        <v>Black Bluff</v>
      </c>
      <c r="D839" s="9">
        <v>3839</v>
      </c>
      <c r="E839" s="9" t="s">
        <v>309</v>
      </c>
      <c r="F839" s="9" t="s">
        <v>23</v>
      </c>
      <c r="G839" s="9" t="s">
        <v>117</v>
      </c>
      <c r="H839" s="8" t="s">
        <v>20</v>
      </c>
      <c r="I839" s="10">
        <v>399510</v>
      </c>
      <c r="J839" s="10">
        <v>5391170</v>
      </c>
      <c r="K839" s="11">
        <v>-41.624870000000001</v>
      </c>
      <c r="L839" s="11">
        <v>145.79367999999999</v>
      </c>
      <c r="N839" s="8" t="s">
        <v>37</v>
      </c>
      <c r="P839" s="8">
        <v>1</v>
      </c>
    </row>
    <row r="840" spans="1:16" x14ac:dyDescent="0.15">
      <c r="A840" s="7" t="s">
        <v>1116</v>
      </c>
      <c r="B840" s="9" t="str">
        <f>VLOOKUP(D840,[1]TASMaps!$H$4:$K$269,3,FALSE)</f>
        <v>TK09</v>
      </c>
      <c r="C840" s="9" t="str">
        <f>VLOOKUP(D840,[1]TASMaps!$H$4:$K$269,4,FALSE)</f>
        <v>Ben Lomond</v>
      </c>
      <c r="D840" s="9">
        <v>5639</v>
      </c>
      <c r="E840" s="9" t="s">
        <v>155</v>
      </c>
      <c r="F840" s="9" t="s">
        <v>30</v>
      </c>
      <c r="G840" s="9" t="s">
        <v>78</v>
      </c>
      <c r="H840" s="8" t="s">
        <v>20</v>
      </c>
      <c r="I840" s="10">
        <v>561590</v>
      </c>
      <c r="J840" s="10">
        <v>5392980</v>
      </c>
      <c r="K840" s="11">
        <v>-41.612520000000004</v>
      </c>
      <c r="L840" s="11">
        <v>147.73921000000001</v>
      </c>
      <c r="N840" s="8" t="s">
        <v>37</v>
      </c>
      <c r="O840" s="8">
        <v>1</v>
      </c>
      <c r="P840" s="8">
        <v>1</v>
      </c>
    </row>
    <row r="841" spans="1:16" x14ac:dyDescent="0.15">
      <c r="A841" s="7" t="s">
        <v>1117</v>
      </c>
      <c r="B841" s="9" t="str">
        <f>VLOOKUP(D841,[1]TASMaps!$H$4:$K$269,3,FALSE)</f>
        <v>TL10</v>
      </c>
      <c r="C841" s="9" t="str">
        <f>VLOOKUP(D841,[1]TASMaps!$H$4:$K$269,4,FALSE)</f>
        <v>Douglas River</v>
      </c>
      <c r="D841" s="9">
        <v>5838</v>
      </c>
      <c r="E841" s="9" t="s">
        <v>1118</v>
      </c>
      <c r="F841" s="9" t="s">
        <v>18</v>
      </c>
      <c r="G841" s="9" t="s">
        <v>44</v>
      </c>
      <c r="H841" s="8" t="s">
        <v>20</v>
      </c>
      <c r="I841" s="10">
        <v>586510</v>
      </c>
      <c r="J841" s="10">
        <v>5389180</v>
      </c>
      <c r="K841" s="11">
        <v>-41.64443</v>
      </c>
      <c r="L841" s="11">
        <v>148.03881000000001</v>
      </c>
      <c r="N841" s="8" t="s">
        <v>37</v>
      </c>
      <c r="O841" s="8">
        <v>1</v>
      </c>
      <c r="P841" s="8">
        <v>1</v>
      </c>
    </row>
    <row r="842" spans="1:16" x14ac:dyDescent="0.15">
      <c r="A842" s="7" t="s">
        <v>1119</v>
      </c>
      <c r="B842" s="9" t="str">
        <f>VLOOKUP(D842,[1]TASMaps!$H$4:$K$269,3,FALSE)</f>
        <v>TP06</v>
      </c>
      <c r="C842" s="9" t="str">
        <f>VLOOKUP(D842,[1]TASMaps!$H$4:$K$269,4,FALSE)</f>
        <v>Denison Range</v>
      </c>
      <c r="D842" s="9">
        <v>4229</v>
      </c>
      <c r="E842" s="9" t="s">
        <v>128</v>
      </c>
      <c r="F842" s="9" t="s">
        <v>23</v>
      </c>
      <c r="G842" s="9" t="s">
        <v>19</v>
      </c>
      <c r="H842" s="8" t="s">
        <v>20</v>
      </c>
      <c r="I842" s="10">
        <v>428630</v>
      </c>
      <c r="J842" s="10">
        <v>5293690</v>
      </c>
      <c r="K842" s="11">
        <v>-42.505870000000002</v>
      </c>
      <c r="L842" s="11">
        <v>146.13131999999999</v>
      </c>
      <c r="M842" s="8" t="s">
        <v>21</v>
      </c>
      <c r="N842" s="8">
        <v>6</v>
      </c>
      <c r="O842" s="8">
        <v>6</v>
      </c>
      <c r="P842" s="8">
        <v>6</v>
      </c>
    </row>
    <row r="843" spans="1:16" x14ac:dyDescent="0.15">
      <c r="A843" s="7" t="s">
        <v>324</v>
      </c>
      <c r="B843" s="9" t="str">
        <f>VLOOKUP(D843,[1]TASMaps!$H$4:$K$269,3,FALSE)</f>
        <v>TL07</v>
      </c>
      <c r="C843" s="9" t="str">
        <f>VLOOKUP(D843,[1]TASMaps!$H$4:$K$269,4,FALSE)</f>
        <v>Breton</v>
      </c>
      <c r="D843" s="9">
        <v>4636</v>
      </c>
      <c r="E843" s="9" t="s">
        <v>324</v>
      </c>
      <c r="F843" s="9" t="s">
        <v>297</v>
      </c>
      <c r="G843" s="9" t="s">
        <v>36</v>
      </c>
      <c r="H843" s="8" t="s">
        <v>20</v>
      </c>
      <c r="I843" s="10">
        <v>472020</v>
      </c>
      <c r="J843" s="10">
        <v>5364765</v>
      </c>
      <c r="K843" s="11">
        <v>-41.868540000000003</v>
      </c>
      <c r="L843" s="11">
        <v>146.66283999999999</v>
      </c>
      <c r="N843" s="8" t="s">
        <v>37</v>
      </c>
      <c r="O843" s="8">
        <v>1</v>
      </c>
      <c r="P843" s="8">
        <v>1</v>
      </c>
    </row>
    <row r="844" spans="1:16" x14ac:dyDescent="0.15">
      <c r="A844" s="7" t="s">
        <v>1120</v>
      </c>
      <c r="B844" s="9" t="str">
        <f>VLOOKUP(D844,[1]TASMaps!$H$4:$K$269,3,FALSE)</f>
        <v>TP07</v>
      </c>
      <c r="C844" s="9" t="str">
        <f>VLOOKUP(D844,[1]TASMaps!$H$4:$K$269,4,FALSE)</f>
        <v>Meadowbank</v>
      </c>
      <c r="D844" s="9">
        <v>4828</v>
      </c>
      <c r="E844" s="9" t="s">
        <v>162</v>
      </c>
      <c r="F844" s="9" t="s">
        <v>30</v>
      </c>
      <c r="G844" s="9" t="s">
        <v>36</v>
      </c>
      <c r="H844" s="8" t="s">
        <v>20</v>
      </c>
      <c r="I844" s="10">
        <v>492580</v>
      </c>
      <c r="J844" s="10">
        <v>5286500</v>
      </c>
      <c r="K844" s="11">
        <v>-42.573869999999999</v>
      </c>
      <c r="L844" s="11">
        <v>146.90959000000001</v>
      </c>
      <c r="N844" s="8" t="s">
        <v>37</v>
      </c>
      <c r="P844" s="8">
        <v>1</v>
      </c>
    </row>
    <row r="845" spans="1:16" x14ac:dyDescent="0.15">
      <c r="A845" s="7" t="s">
        <v>1121</v>
      </c>
      <c r="B845" s="9" t="str">
        <f>VLOOKUP(D845,[1]TASMaps!$H$4:$K$269,3,FALSE)</f>
        <v>TQ05</v>
      </c>
      <c r="C845" s="9" t="str">
        <f>VLOOKUP(D845,[1]TASMaps!$H$4:$K$269,4,FALSE)</f>
        <v>Dohertys</v>
      </c>
      <c r="D845" s="9">
        <v>4026</v>
      </c>
      <c r="E845" s="9" t="s">
        <v>1028</v>
      </c>
      <c r="F845" s="9" t="s">
        <v>30</v>
      </c>
      <c r="G845" s="9" t="s">
        <v>19</v>
      </c>
      <c r="H845" s="8" t="s">
        <v>20</v>
      </c>
      <c r="I845" s="10">
        <v>415250</v>
      </c>
      <c r="J845" s="10">
        <v>5261790</v>
      </c>
      <c r="K845" s="11">
        <v>-42.79175</v>
      </c>
      <c r="L845" s="11">
        <v>145.96373</v>
      </c>
      <c r="N845" s="8" t="s">
        <v>37</v>
      </c>
      <c r="O845" s="8">
        <v>2</v>
      </c>
      <c r="P845" s="8">
        <v>2</v>
      </c>
    </row>
    <row r="846" spans="1:16" x14ac:dyDescent="0.15">
      <c r="A846" s="7" t="s">
        <v>1122</v>
      </c>
      <c r="B846" s="9" t="str">
        <f>VLOOKUP(D846,[1]TASMaps!$H$4:$K$269,3,FALSE)</f>
        <v>TN08</v>
      </c>
      <c r="C846" s="9" t="str">
        <f>VLOOKUP(D846,[1]TASMaps!$H$4:$K$269,4,FALSE)</f>
        <v>Tiberias</v>
      </c>
      <c r="D846" s="9">
        <v>5230</v>
      </c>
      <c r="E846" s="9" t="s">
        <v>67</v>
      </c>
      <c r="F846" s="9" t="s">
        <v>18</v>
      </c>
      <c r="G846" s="9" t="s">
        <v>59</v>
      </c>
      <c r="H846" s="8" t="s">
        <v>20</v>
      </c>
      <c r="I846" s="10">
        <v>520950</v>
      </c>
      <c r="J846" s="10">
        <v>5305040</v>
      </c>
      <c r="K846" s="11">
        <v>-42.406660000000002</v>
      </c>
      <c r="L846" s="11">
        <v>147.25459000000001</v>
      </c>
      <c r="N846" s="8" t="s">
        <v>37</v>
      </c>
      <c r="P846" s="8">
        <v>1</v>
      </c>
    </row>
    <row r="847" spans="1:16" x14ac:dyDescent="0.15">
      <c r="A847" s="7" t="s">
        <v>1123</v>
      </c>
      <c r="B847" s="9" t="str">
        <f>VLOOKUP(D847,[1]TASMaps!$H$4:$K$269,3,FALSE)</f>
        <v>TN08</v>
      </c>
      <c r="C847" s="9" t="str">
        <f>VLOOKUP(D847,[1]TASMaps!$H$4:$K$269,4,FALSE)</f>
        <v>Tiberias</v>
      </c>
      <c r="D847" s="9">
        <v>5230</v>
      </c>
      <c r="E847" s="9" t="s">
        <v>67</v>
      </c>
      <c r="F847" s="9" t="s">
        <v>23</v>
      </c>
      <c r="G847" s="9" t="s">
        <v>59</v>
      </c>
      <c r="H847" s="8" t="s">
        <v>20</v>
      </c>
      <c r="I847" s="10">
        <v>520540</v>
      </c>
      <c r="J847" s="10">
        <v>5306090</v>
      </c>
      <c r="K847" s="11">
        <v>-42.397210000000001</v>
      </c>
      <c r="L847" s="11">
        <v>147.24957000000001</v>
      </c>
      <c r="N847" s="8" t="s">
        <v>37</v>
      </c>
      <c r="P847" s="8">
        <v>1</v>
      </c>
    </row>
    <row r="848" spans="1:16" x14ac:dyDescent="0.15">
      <c r="A848" s="7" t="s">
        <v>1124</v>
      </c>
      <c r="B848" s="9" t="str">
        <f>VLOOKUP(D848,[1]TASMaps!$H$4:$K$269,3,FALSE)</f>
        <v>TM06</v>
      </c>
      <c r="C848" s="9" t="str">
        <f>VLOOKUP(D848,[1]TASMaps!$H$4:$K$269,4,FALSE)</f>
        <v>St Clair</v>
      </c>
      <c r="D848" s="9">
        <v>4235</v>
      </c>
      <c r="E848" s="9" t="s">
        <v>32</v>
      </c>
      <c r="F848" s="9" t="s">
        <v>30</v>
      </c>
      <c r="G848" s="9" t="s">
        <v>36</v>
      </c>
      <c r="H848" s="8" t="s">
        <v>20</v>
      </c>
      <c r="I848" s="10">
        <v>431130</v>
      </c>
      <c r="J848" s="10">
        <v>5352480</v>
      </c>
      <c r="K848" s="11">
        <v>-41.976669999999999</v>
      </c>
      <c r="L848" s="11">
        <v>146.16872000000001</v>
      </c>
      <c r="N848" s="8">
        <v>1</v>
      </c>
      <c r="O848" s="8">
        <v>1</v>
      </c>
      <c r="P848" s="8">
        <v>1</v>
      </c>
    </row>
    <row r="849" spans="1:16" x14ac:dyDescent="0.15">
      <c r="A849" s="7" t="s">
        <v>1125</v>
      </c>
      <c r="B849" s="9" t="str">
        <f>VLOOKUP(D849,[1]TASMaps!$H$4:$K$269,3,FALSE)</f>
        <v>TQ09</v>
      </c>
      <c r="C849" s="9" t="str">
        <f>VLOOKUP(D849,[1]TASMaps!$H$4:$K$269,4,FALSE)</f>
        <v>Frederick Henry</v>
      </c>
      <c r="D849" s="9">
        <v>5426</v>
      </c>
      <c r="E849" s="9" t="s">
        <v>677</v>
      </c>
      <c r="F849" s="9" t="s">
        <v>30</v>
      </c>
      <c r="G849" s="9" t="s">
        <v>677</v>
      </c>
      <c r="H849" s="8" t="s">
        <v>20</v>
      </c>
      <c r="I849" s="10">
        <v>550860</v>
      </c>
      <c r="J849" s="10">
        <v>5269590</v>
      </c>
      <c r="K849" s="11">
        <v>-42.724510000000002</v>
      </c>
      <c r="L849" s="11">
        <v>147.62121999999999</v>
      </c>
      <c r="N849" s="8" t="s">
        <v>37</v>
      </c>
      <c r="P849" s="8">
        <v>1</v>
      </c>
    </row>
    <row r="850" spans="1:16" x14ac:dyDescent="0.15">
      <c r="A850" s="7" t="s">
        <v>1126</v>
      </c>
      <c r="B850" s="9" t="str">
        <f>VLOOKUP(D850,[1]TASMaps!$H$4:$K$269,3,FALSE)</f>
        <v>TL10</v>
      </c>
      <c r="C850" s="9" t="str">
        <f>VLOOKUP(D850,[1]TASMaps!$H$4:$K$269,4,FALSE)</f>
        <v>Douglas River</v>
      </c>
      <c r="D850" s="9">
        <v>5837</v>
      </c>
      <c r="E850" s="9" t="s">
        <v>903</v>
      </c>
      <c r="F850" s="9" t="s">
        <v>30</v>
      </c>
      <c r="G850" s="9" t="s">
        <v>78</v>
      </c>
      <c r="H850" s="8" t="s">
        <v>20</v>
      </c>
      <c r="I850" s="10">
        <v>590320</v>
      </c>
      <c r="J850" s="10">
        <v>5374130</v>
      </c>
      <c r="K850" s="11">
        <v>-41.779539999999997</v>
      </c>
      <c r="L850" s="11">
        <v>148.08684</v>
      </c>
      <c r="N850" s="8" t="s">
        <v>37</v>
      </c>
      <c r="O850" s="8">
        <v>1</v>
      </c>
      <c r="P850" s="8">
        <v>1</v>
      </c>
    </row>
    <row r="851" spans="1:16" x14ac:dyDescent="0.15">
      <c r="A851" s="7" t="s">
        <v>1127</v>
      </c>
      <c r="B851" s="9" t="str">
        <f>VLOOKUP(D851,[1]TASMaps!$H$4:$K$269,3,FALSE)</f>
        <v>TK10</v>
      </c>
      <c r="C851" s="9" t="str">
        <f>VLOOKUP(D851,[1]TASMaps!$H$4:$K$269,4,FALSE)</f>
        <v>Nicholas</v>
      </c>
      <c r="D851" s="9">
        <v>6039</v>
      </c>
      <c r="E851" s="9" t="s">
        <v>485</v>
      </c>
      <c r="F851" s="9" t="s">
        <v>30</v>
      </c>
      <c r="G851" s="9" t="s">
        <v>44</v>
      </c>
      <c r="H851" s="8" t="s">
        <v>20</v>
      </c>
      <c r="I851" s="10">
        <v>603030</v>
      </c>
      <c r="J851" s="10">
        <v>5396945</v>
      </c>
      <c r="K851" s="11">
        <v>-41.572539999999996</v>
      </c>
      <c r="L851" s="11">
        <v>148.23580999999999</v>
      </c>
      <c r="N851" s="8">
        <v>1</v>
      </c>
      <c r="O851" s="8">
        <v>1</v>
      </c>
      <c r="P851" s="8">
        <v>1</v>
      </c>
    </row>
    <row r="852" spans="1:16" x14ac:dyDescent="0.15">
      <c r="A852" s="7" t="s">
        <v>373</v>
      </c>
      <c r="B852" s="9" t="str">
        <f>VLOOKUP(D852,[1]TASMaps!$H$4:$K$269,3,FALSE)</f>
        <v>TL09</v>
      </c>
      <c r="C852" s="9" t="str">
        <f>VLOOKUP(D852,[1]TASMaps!$H$4:$K$269,4,FALSE)</f>
        <v>Avoca</v>
      </c>
      <c r="D852" s="9">
        <v>5637</v>
      </c>
      <c r="E852" s="9" t="s">
        <v>373</v>
      </c>
      <c r="F852" s="9" t="s">
        <v>30</v>
      </c>
      <c r="G852" s="9" t="s">
        <v>44</v>
      </c>
      <c r="H852" s="8" t="s">
        <v>20</v>
      </c>
      <c r="I852" s="10">
        <v>569340</v>
      </c>
      <c r="J852" s="10">
        <v>5375600</v>
      </c>
      <c r="K852" s="11">
        <v>-41.768410000000003</v>
      </c>
      <c r="L852" s="11">
        <v>147.83423999999999</v>
      </c>
      <c r="N852" s="8" t="s">
        <v>37</v>
      </c>
      <c r="O852" s="8">
        <v>1</v>
      </c>
      <c r="P852" s="8">
        <v>1</v>
      </c>
    </row>
    <row r="853" spans="1:16" x14ac:dyDescent="0.15">
      <c r="A853" s="9" t="s">
        <v>1128</v>
      </c>
      <c r="B853" s="9" t="str">
        <f>VLOOKUP(D853,[1]TASMaps!$H$4:$K$269,3,FALSE)</f>
        <v>TL09</v>
      </c>
      <c r="C853" s="9" t="str">
        <f>VLOOKUP(D853,[1]TASMaps!$H$4:$K$269,4,FALSE)</f>
        <v>Avoca</v>
      </c>
      <c r="D853" s="9">
        <v>5637</v>
      </c>
      <c r="E853" s="9" t="s">
        <v>373</v>
      </c>
      <c r="F853" s="9" t="s">
        <v>30</v>
      </c>
      <c r="G853" s="9" t="s">
        <v>78</v>
      </c>
      <c r="H853" s="8" t="s">
        <v>20</v>
      </c>
      <c r="I853" s="10">
        <v>567360</v>
      </c>
      <c r="J853" s="10">
        <v>5374880</v>
      </c>
      <c r="K853" s="11">
        <v>-41.775069999999999</v>
      </c>
      <c r="L853" s="11">
        <v>147.81049999999999</v>
      </c>
      <c r="N853" s="8" t="s">
        <v>37</v>
      </c>
      <c r="P853" s="8">
        <v>1</v>
      </c>
    </row>
    <row r="854" spans="1:16" x14ac:dyDescent="0.15">
      <c r="A854" s="7" t="s">
        <v>1129</v>
      </c>
      <c r="B854" s="9" t="str">
        <f>VLOOKUP(D854,[1]TASMaps!$H$4:$K$269,3,FALSE)</f>
        <v>TN08</v>
      </c>
      <c r="C854" s="9" t="str">
        <f>VLOOKUP(D854,[1]TASMaps!$H$4:$K$269,4,FALSE)</f>
        <v>Tiberias</v>
      </c>
      <c r="D854" s="9">
        <v>5232</v>
      </c>
      <c r="E854" s="9" t="s">
        <v>1130</v>
      </c>
      <c r="F854" s="9" t="s">
        <v>30</v>
      </c>
      <c r="G854" s="9" t="s">
        <v>59</v>
      </c>
      <c r="H854" s="8" t="s">
        <v>20</v>
      </c>
      <c r="I854" s="10">
        <v>535280</v>
      </c>
      <c r="J854" s="10">
        <v>5321760</v>
      </c>
      <c r="K854" s="11">
        <v>-42.255560000000003</v>
      </c>
      <c r="L854" s="11">
        <v>147.42770999999999</v>
      </c>
      <c r="N854" s="8" t="s">
        <v>37</v>
      </c>
      <c r="P854" s="8">
        <v>1</v>
      </c>
    </row>
    <row r="855" spans="1:16" x14ac:dyDescent="0.15">
      <c r="A855" s="7" t="s">
        <v>1131</v>
      </c>
      <c r="B855" s="9" t="str">
        <f>VLOOKUP(D855,[1]TASMaps!$H$4:$K$269,3,FALSE)</f>
        <v>TJ05</v>
      </c>
      <c r="C855" s="9" t="str">
        <f>VLOOKUP(D855,[1]TASMaps!$H$4:$K$269,4,FALSE)</f>
        <v>Emu River</v>
      </c>
      <c r="D855" s="9">
        <v>3842</v>
      </c>
      <c r="E855" s="9" t="s">
        <v>350</v>
      </c>
      <c r="F855" s="9" t="s">
        <v>23</v>
      </c>
      <c r="G855" s="9" t="s">
        <v>117</v>
      </c>
      <c r="H855" s="8" t="s">
        <v>20</v>
      </c>
      <c r="I855" s="10">
        <v>395930</v>
      </c>
      <c r="J855" s="10">
        <v>5420940</v>
      </c>
      <c r="K855" s="11">
        <v>-41.356319999999997</v>
      </c>
      <c r="L855" s="11">
        <v>145.75586000000001</v>
      </c>
      <c r="M855" s="8" t="s">
        <v>21</v>
      </c>
      <c r="N855" s="8">
        <v>1</v>
      </c>
      <c r="O855" s="8">
        <v>1</v>
      </c>
      <c r="P855" s="8">
        <v>1</v>
      </c>
    </row>
    <row r="856" spans="1:16" x14ac:dyDescent="0.15">
      <c r="A856" s="7" t="s">
        <v>1132</v>
      </c>
      <c r="B856" s="9" t="str">
        <f>VLOOKUP(D856,[1]TASMaps!$H$4:$K$269,3,FALSE)</f>
        <v>TK09</v>
      </c>
      <c r="C856" s="9" t="str">
        <f>VLOOKUP(D856,[1]TASMaps!$H$4:$K$269,4,FALSE)</f>
        <v>Ben Lomond</v>
      </c>
      <c r="D856" s="9">
        <v>5439</v>
      </c>
      <c r="E856" s="9" t="s">
        <v>95</v>
      </c>
      <c r="F856" s="9" t="s">
        <v>30</v>
      </c>
      <c r="G856" s="9" t="s">
        <v>78</v>
      </c>
      <c r="H856" s="8" t="s">
        <v>20</v>
      </c>
      <c r="I856" s="10">
        <v>557340</v>
      </c>
      <c r="J856" s="10">
        <v>5391510</v>
      </c>
      <c r="K856" s="11">
        <v>-41.626080000000002</v>
      </c>
      <c r="L856" s="11">
        <v>147.68835000000001</v>
      </c>
      <c r="M856" s="8" t="s">
        <v>21</v>
      </c>
      <c r="N856" s="8">
        <v>2</v>
      </c>
      <c r="O856" s="8">
        <v>2</v>
      </c>
      <c r="P856" s="8">
        <v>3</v>
      </c>
    </row>
    <row r="857" spans="1:16" x14ac:dyDescent="0.15">
      <c r="A857" s="9" t="s">
        <v>1133</v>
      </c>
      <c r="B857" s="9" t="str">
        <f>VLOOKUP(D857,[1]TASMaps!$H$4:$K$269,3,FALSE)</f>
        <v>TN05</v>
      </c>
      <c r="C857" s="9" t="str">
        <f>VLOOKUP(D857,[1]TASMaps!$H$4:$K$269,4,FALSE)</f>
        <v>Frenchmans</v>
      </c>
      <c r="D857" s="9">
        <v>4031</v>
      </c>
      <c r="E857" s="9" t="s">
        <v>337</v>
      </c>
      <c r="F857" s="9" t="s">
        <v>18</v>
      </c>
      <c r="G857" s="9" t="s">
        <v>24</v>
      </c>
      <c r="H857" s="8" t="s">
        <v>20</v>
      </c>
      <c r="I857" s="10">
        <v>410520</v>
      </c>
      <c r="J857" s="10">
        <v>5312470</v>
      </c>
      <c r="K857" s="11">
        <v>-42.334879999999998</v>
      </c>
      <c r="L857" s="11">
        <v>145.91385</v>
      </c>
      <c r="N857" s="8" t="s">
        <v>37</v>
      </c>
      <c r="P857" s="8">
        <v>1</v>
      </c>
    </row>
    <row r="858" spans="1:16" x14ac:dyDescent="0.15">
      <c r="A858" s="7" t="s">
        <v>1134</v>
      </c>
      <c r="B858" s="9" t="str">
        <f>VLOOKUP(D858,[1]TASMaps!$H$4:$K$269,3,FALSE)</f>
        <v>TK06</v>
      </c>
      <c r="C858" s="9" t="str">
        <f>VLOOKUP(D858,[1]TASMaps!$H$4:$K$269,4,FALSE)</f>
        <v>Fossey Mountains</v>
      </c>
      <c r="D858" s="9">
        <v>4240</v>
      </c>
      <c r="E858" s="9" t="s">
        <v>141</v>
      </c>
      <c r="F858" s="9" t="s">
        <v>18</v>
      </c>
      <c r="G858" s="9" t="s">
        <v>33</v>
      </c>
      <c r="H858" s="8" t="s">
        <v>20</v>
      </c>
      <c r="I858" s="10">
        <v>439010</v>
      </c>
      <c r="J858" s="10">
        <v>5401920</v>
      </c>
      <c r="K858" s="11">
        <v>-41.532049999999998</v>
      </c>
      <c r="L858" s="11">
        <v>146.2689</v>
      </c>
      <c r="N858" s="8" t="s">
        <v>37</v>
      </c>
      <c r="P858" s="8">
        <v>1</v>
      </c>
    </row>
    <row r="859" spans="1:16" x14ac:dyDescent="0.15">
      <c r="A859" s="9" t="s">
        <v>1135</v>
      </c>
      <c r="B859" s="9" t="str">
        <f>VLOOKUP(D859,[1]TASMaps!$H$4:$K$269,3,FALSE)</f>
        <v>TQ06</v>
      </c>
      <c r="C859" s="9" t="str">
        <f>VLOOKUP(D859,[1]TASMaps!$H$4:$K$269,4,FALSE)</f>
        <v>Lake Pedder</v>
      </c>
      <c r="D859" s="9">
        <v>4225</v>
      </c>
      <c r="E859" s="9" t="s">
        <v>366</v>
      </c>
      <c r="F859" s="9" t="s">
        <v>30</v>
      </c>
      <c r="G859" s="9" t="s">
        <v>19</v>
      </c>
      <c r="H859" s="8" t="s">
        <v>20</v>
      </c>
      <c r="I859" s="10">
        <v>420230</v>
      </c>
      <c r="J859" s="10">
        <v>5253620</v>
      </c>
      <c r="K859" s="11">
        <v>-42.865850000000002</v>
      </c>
      <c r="L859" s="11">
        <v>146.02345</v>
      </c>
      <c r="N859" s="8" t="s">
        <v>37</v>
      </c>
      <c r="P859" s="8">
        <v>1</v>
      </c>
    </row>
    <row r="860" spans="1:16" x14ac:dyDescent="0.15">
      <c r="A860" s="7" t="s">
        <v>1136</v>
      </c>
      <c r="B860" s="9" t="str">
        <f>VLOOKUP(D860,[1]TASMaps!$H$4:$K$269,3,FALSE)</f>
        <v>TL07</v>
      </c>
      <c r="C860" s="9" t="str">
        <f>VLOOKUP(D860,[1]TASMaps!$H$4:$K$269,4,FALSE)</f>
        <v>Breton</v>
      </c>
      <c r="D860" s="9">
        <v>4836</v>
      </c>
      <c r="E860" s="9" t="s">
        <v>168</v>
      </c>
      <c r="F860" s="9" t="s">
        <v>18</v>
      </c>
      <c r="G860" s="9" t="s">
        <v>36</v>
      </c>
      <c r="H860" s="8" t="s">
        <v>20</v>
      </c>
      <c r="I860" s="10">
        <v>486390</v>
      </c>
      <c r="J860" s="10">
        <v>5363740</v>
      </c>
      <c r="K860" s="11">
        <v>-41.878149999999998</v>
      </c>
      <c r="L860" s="11">
        <v>146.83598000000001</v>
      </c>
      <c r="N860" s="8" t="s">
        <v>37</v>
      </c>
      <c r="P860" s="8">
        <v>1</v>
      </c>
    </row>
    <row r="861" spans="1:16" x14ac:dyDescent="0.15">
      <c r="A861" s="9" t="s">
        <v>1137</v>
      </c>
      <c r="B861" s="9" t="str">
        <f>VLOOKUP(D861,[1]TASMaps!$H$4:$K$269,3,FALSE)</f>
        <v>TM08</v>
      </c>
      <c r="C861" s="9" t="str">
        <f>VLOOKUP(D861,[1]TASMaps!$H$4:$K$269,4,FALSE)</f>
        <v>Dogs Head Tier</v>
      </c>
      <c r="D861" s="9">
        <v>5234</v>
      </c>
      <c r="E861" s="9" t="s">
        <v>1138</v>
      </c>
      <c r="F861" s="9" t="s">
        <v>30</v>
      </c>
      <c r="G861" s="9" t="s">
        <v>78</v>
      </c>
      <c r="H861" s="8" t="s">
        <v>20</v>
      </c>
      <c r="I861" s="10">
        <v>533340</v>
      </c>
      <c r="J861" s="10">
        <v>5342620</v>
      </c>
      <c r="K861" s="11">
        <v>-42.067779999999999</v>
      </c>
      <c r="L861" s="11">
        <v>147.40299999999999</v>
      </c>
      <c r="N861" s="8" t="s">
        <v>37</v>
      </c>
      <c r="P861" s="8">
        <v>1</v>
      </c>
    </row>
    <row r="862" spans="1:16" x14ac:dyDescent="0.15">
      <c r="A862" s="14" t="s">
        <v>1139</v>
      </c>
      <c r="B862" s="9" t="str">
        <f>VLOOKUP(D862,[1]TASMaps!$H$4:$K$269,3,FALSE)</f>
        <v>TK09</v>
      </c>
      <c r="C862" s="9" t="str">
        <f>VLOOKUP(D862,[1]TASMaps!$H$4:$K$269,4,FALSE)</f>
        <v>Ben Lomond</v>
      </c>
      <c r="D862" s="9">
        <v>5440</v>
      </c>
      <c r="E862" s="9" t="s">
        <v>320</v>
      </c>
      <c r="F862" s="9" t="s">
        <v>30</v>
      </c>
      <c r="G862" s="9" t="s">
        <v>78</v>
      </c>
      <c r="H862" s="8" t="s">
        <v>20</v>
      </c>
      <c r="I862" s="10">
        <v>549600</v>
      </c>
      <c r="J862" s="10">
        <v>5402410</v>
      </c>
      <c r="K862" s="11">
        <v>-41.528419999999997</v>
      </c>
      <c r="L862" s="11">
        <v>147.59453999999999</v>
      </c>
      <c r="N862" s="8" t="s">
        <v>37</v>
      </c>
      <c r="P862" s="8">
        <v>1</v>
      </c>
    </row>
    <row r="863" spans="1:16" x14ac:dyDescent="0.15">
      <c r="A863" s="7" t="s">
        <v>1140</v>
      </c>
      <c r="B863" s="9" t="str">
        <f>VLOOKUP(D863,[1]TASMaps!$H$4:$K$269,3,FALSE)</f>
        <v>TK07</v>
      </c>
      <c r="C863" s="9" t="str">
        <f>VLOOKUP(D863,[1]TASMaps!$H$4:$K$269,4,FALSE)</f>
        <v>Meander Valley</v>
      </c>
      <c r="D863" s="9">
        <v>4641</v>
      </c>
      <c r="E863" s="9" t="s">
        <v>1141</v>
      </c>
      <c r="F863" s="9" t="s">
        <v>18</v>
      </c>
      <c r="G863" s="9" t="s">
        <v>33</v>
      </c>
      <c r="H863" s="8" t="s">
        <v>20</v>
      </c>
      <c r="I863" s="10">
        <v>472100</v>
      </c>
      <c r="J863" s="10">
        <v>5412600</v>
      </c>
      <c r="K863" s="11">
        <v>-41.437690000000003</v>
      </c>
      <c r="L863" s="11">
        <v>146.66604000000001</v>
      </c>
      <c r="N863" s="8" t="s">
        <v>37</v>
      </c>
      <c r="P863" s="8">
        <v>1</v>
      </c>
    </row>
    <row r="864" spans="1:16" x14ac:dyDescent="0.15">
      <c r="A864" s="7" t="s">
        <v>1142</v>
      </c>
      <c r="B864" s="9" t="str">
        <f>VLOOKUP(D864,[1]TASMaps!$H$4:$K$269,3,FALSE)</f>
        <v>TP06</v>
      </c>
      <c r="C864" s="9" t="str">
        <f>VLOOKUP(D864,[1]TASMaps!$H$4:$K$269,4,FALSE)</f>
        <v>Denison Range</v>
      </c>
      <c r="D864" s="9">
        <v>4427</v>
      </c>
      <c r="E864" s="9" t="s">
        <v>327</v>
      </c>
      <c r="F864" s="9" t="s">
        <v>227</v>
      </c>
      <c r="G864" s="9" t="s">
        <v>19</v>
      </c>
      <c r="H864" s="8" t="s">
        <v>20</v>
      </c>
      <c r="I864" s="10">
        <v>441720</v>
      </c>
      <c r="J864" s="10">
        <v>5279440</v>
      </c>
      <c r="K864" s="11">
        <v>-42.635280000000002</v>
      </c>
      <c r="L864" s="11">
        <v>146.28917000000001</v>
      </c>
      <c r="M864" s="8" t="s">
        <v>21</v>
      </c>
      <c r="N864" s="8">
        <v>3</v>
      </c>
      <c r="O864" s="8">
        <v>3</v>
      </c>
      <c r="P864" s="8">
        <v>5</v>
      </c>
    </row>
    <row r="865" spans="1:16" x14ac:dyDescent="0.15">
      <c r="A865" s="7" t="s">
        <v>1143</v>
      </c>
      <c r="B865" s="9" t="str">
        <f>VLOOKUP(D865,[1]TASMaps!$H$4:$K$269,3,FALSE)</f>
        <v>TM08</v>
      </c>
      <c r="C865" s="9" t="str">
        <f>VLOOKUP(D865,[1]TASMaps!$H$4:$K$269,4,FALSE)</f>
        <v>Dogs Head Tier</v>
      </c>
      <c r="D865" s="9">
        <v>5035</v>
      </c>
      <c r="E865" s="9" t="s">
        <v>626</v>
      </c>
      <c r="F865" s="9" t="s">
        <v>18</v>
      </c>
      <c r="G865" s="9" t="s">
        <v>36</v>
      </c>
      <c r="H865" s="8" t="s">
        <v>20</v>
      </c>
      <c r="I865" s="10">
        <v>511100</v>
      </c>
      <c r="J865" s="10">
        <v>5353570</v>
      </c>
      <c r="K865" s="11">
        <v>-41.96978</v>
      </c>
      <c r="L865" s="11">
        <v>147.13397000000001</v>
      </c>
      <c r="N865" s="8" t="s">
        <v>37</v>
      </c>
      <c r="O865" s="8">
        <v>1</v>
      </c>
      <c r="P865" s="8">
        <v>1</v>
      </c>
    </row>
    <row r="866" spans="1:16" x14ac:dyDescent="0.15">
      <c r="A866" s="9" t="s">
        <v>1144</v>
      </c>
      <c r="B866" s="9" t="str">
        <f>VLOOKUP(D866,[1]TASMaps!$H$4:$K$269,3,FALSE)</f>
        <v>TK04</v>
      </c>
      <c r="C866" s="9" t="str">
        <f>VLOOKUP(D866,[1]TASMaps!$H$4:$K$269,4,FALSE)</f>
        <v>White River</v>
      </c>
      <c r="D866" s="9">
        <v>3440</v>
      </c>
      <c r="E866" s="9" t="s">
        <v>1145</v>
      </c>
      <c r="F866" s="9" t="s">
        <v>30</v>
      </c>
      <c r="G866" s="9" t="s">
        <v>117</v>
      </c>
      <c r="H866" s="8" t="s">
        <v>20</v>
      </c>
      <c r="I866" s="10">
        <v>359380</v>
      </c>
      <c r="J866" s="10">
        <v>5402400</v>
      </c>
      <c r="K866" s="11">
        <v>-41.517690000000002</v>
      </c>
      <c r="L866" s="11">
        <v>145.31475</v>
      </c>
      <c r="N866" s="8" t="s">
        <v>37</v>
      </c>
      <c r="P866" s="8">
        <v>1</v>
      </c>
    </row>
    <row r="867" spans="1:16" x14ac:dyDescent="0.15">
      <c r="A867" s="7" t="s">
        <v>1146</v>
      </c>
      <c r="B867" s="9" t="str">
        <f>VLOOKUP(D867,[1]TASMaps!$H$4:$K$269,3,FALSE)</f>
        <v>TL05</v>
      </c>
      <c r="C867" s="9" t="str">
        <f>VLOOKUP(D867,[1]TASMaps!$H$4:$K$269,4,FALSE)</f>
        <v>Murchison</v>
      </c>
      <c r="D867" s="9">
        <v>3836</v>
      </c>
      <c r="E867" s="9" t="s">
        <v>75</v>
      </c>
      <c r="F867" s="9" t="s">
        <v>104</v>
      </c>
      <c r="G867" s="9" t="s">
        <v>24</v>
      </c>
      <c r="H867" s="8" t="s">
        <v>20</v>
      </c>
      <c r="I867" s="10">
        <v>388150</v>
      </c>
      <c r="J867" s="10">
        <v>5360460</v>
      </c>
      <c r="K867" s="11">
        <v>-41.899880000000003</v>
      </c>
      <c r="L867" s="11">
        <v>145.65156999999999</v>
      </c>
      <c r="N867" s="8" t="s">
        <v>37</v>
      </c>
      <c r="O867" s="8">
        <v>2</v>
      </c>
      <c r="P867" s="8">
        <v>2</v>
      </c>
    </row>
    <row r="868" spans="1:16" x14ac:dyDescent="0.15">
      <c r="A868" s="9" t="s">
        <v>1147</v>
      </c>
      <c r="B868" s="9" t="str">
        <f>VLOOKUP(D868,[1]TASMaps!$H$4:$K$269,3,FALSE)</f>
        <v>TS06</v>
      </c>
      <c r="C868" s="9" t="str">
        <f>VLOOKUP(D868,[1]TASMaps!$H$4:$K$269,4,FALSE)</f>
        <v>Bathurst</v>
      </c>
      <c r="D868" s="9">
        <v>4220</v>
      </c>
      <c r="E868" s="9" t="s">
        <v>157</v>
      </c>
      <c r="F868" s="9" t="s">
        <v>30</v>
      </c>
      <c r="G868" s="9" t="s">
        <v>27</v>
      </c>
      <c r="H868" s="8" t="s">
        <v>20</v>
      </c>
      <c r="I868" s="10">
        <v>420080</v>
      </c>
      <c r="J868" s="10">
        <v>5203850</v>
      </c>
      <c r="K868" s="11">
        <v>-43.313940000000002</v>
      </c>
      <c r="L868" s="11">
        <v>146.01446000000001</v>
      </c>
      <c r="N868" s="8" t="s">
        <v>37</v>
      </c>
      <c r="P868" s="8">
        <v>1</v>
      </c>
    </row>
    <row r="869" spans="1:16" x14ac:dyDescent="0.15">
      <c r="A869" s="7" t="s">
        <v>1148</v>
      </c>
      <c r="B869" s="9" t="str">
        <f>VLOOKUP(D869,[1]TASMaps!$H$4:$K$269,3,FALSE)</f>
        <v>TR06</v>
      </c>
      <c r="C869" s="9" t="str">
        <f>VLOOKUP(D869,[1]TASMaps!$H$4:$K$269,4,FALSE)</f>
        <v>Western Arthur</v>
      </c>
      <c r="D869" s="9">
        <v>4223</v>
      </c>
      <c r="E869" s="9" t="s">
        <v>318</v>
      </c>
      <c r="F869" s="9" t="s">
        <v>23</v>
      </c>
      <c r="G869" s="9" t="s">
        <v>27</v>
      </c>
      <c r="H869" s="8" t="s">
        <v>20</v>
      </c>
      <c r="I869" s="10">
        <v>427570</v>
      </c>
      <c r="J869" s="10">
        <v>5230190</v>
      </c>
      <c r="K869" s="11">
        <v>-43.077539999999999</v>
      </c>
      <c r="L869" s="11">
        <v>146.11026000000001</v>
      </c>
      <c r="N869" s="8" t="s">
        <v>37</v>
      </c>
      <c r="O869" s="8">
        <v>1</v>
      </c>
      <c r="P869" s="8">
        <v>1</v>
      </c>
    </row>
    <row r="870" spans="1:16" x14ac:dyDescent="0.15">
      <c r="A870" s="9" t="s">
        <v>1149</v>
      </c>
      <c r="B870" s="9" t="str">
        <f>VLOOKUP(D870,[1]TASMaps!$H$4:$K$269,3,FALSE)</f>
        <v>TK09</v>
      </c>
      <c r="C870" s="9" t="str">
        <f>VLOOKUP(D870,[1]TASMaps!$H$4:$K$269,4,FALSE)</f>
        <v>Ben Lomond</v>
      </c>
      <c r="D870" s="9">
        <v>5440</v>
      </c>
      <c r="E870" s="9" t="s">
        <v>320</v>
      </c>
      <c r="F870" s="9" t="s">
        <v>23</v>
      </c>
      <c r="G870" s="9" t="s">
        <v>78</v>
      </c>
      <c r="H870" s="8" t="s">
        <v>20</v>
      </c>
      <c r="I870" s="10">
        <v>556580</v>
      </c>
      <c r="J870" s="10">
        <v>5402350</v>
      </c>
      <c r="K870" s="11">
        <v>-41.528500000000001</v>
      </c>
      <c r="L870" s="11">
        <v>147.6782</v>
      </c>
      <c r="N870" s="8" t="s">
        <v>37</v>
      </c>
      <c r="P870" s="8">
        <v>1</v>
      </c>
    </row>
    <row r="871" spans="1:16" x14ac:dyDescent="0.15">
      <c r="A871" s="9" t="s">
        <v>1150</v>
      </c>
      <c r="B871" s="9" t="str">
        <f>VLOOKUP(D871,[1]TASMaps!$H$4:$K$269,3,FALSE)</f>
        <v>TP07</v>
      </c>
      <c r="C871" s="9" t="str">
        <f>VLOOKUP(D871,[1]TASMaps!$H$4:$K$269,4,FALSE)</f>
        <v>Meadowbank</v>
      </c>
      <c r="D871" s="9">
        <v>4829</v>
      </c>
      <c r="E871" s="9" t="s">
        <v>198</v>
      </c>
      <c r="F871" s="9" t="s">
        <v>23</v>
      </c>
      <c r="G871" s="9" t="s">
        <v>36</v>
      </c>
      <c r="H871" s="8" t="s">
        <v>20</v>
      </c>
      <c r="I871" s="10">
        <v>487270</v>
      </c>
      <c r="J871" s="10">
        <v>5297810</v>
      </c>
      <c r="K871" s="11">
        <v>-42.47195</v>
      </c>
      <c r="L871" s="11">
        <v>146.84513999999999</v>
      </c>
      <c r="N871" s="8" t="s">
        <v>37</v>
      </c>
      <c r="P871" s="8">
        <v>1</v>
      </c>
    </row>
    <row r="872" spans="1:16" x14ac:dyDescent="0.15">
      <c r="A872" s="7" t="s">
        <v>1151</v>
      </c>
      <c r="B872" s="9" t="str">
        <f>VLOOKUP(D872,[1]TASMaps!$H$4:$K$269,3,FALSE)</f>
        <v>TK05</v>
      </c>
      <c r="C872" s="9" t="str">
        <f>VLOOKUP(D872,[1]TASMaps!$H$4:$K$269,4,FALSE)</f>
        <v>Black Bluff</v>
      </c>
      <c r="D872" s="9">
        <v>4040</v>
      </c>
      <c r="E872" s="9" t="s">
        <v>112</v>
      </c>
      <c r="F872" s="9" t="s">
        <v>30</v>
      </c>
      <c r="G872" s="9" t="s">
        <v>142</v>
      </c>
      <c r="H872" s="8" t="s">
        <v>20</v>
      </c>
      <c r="I872" s="10">
        <v>417360</v>
      </c>
      <c r="J872" s="10">
        <v>5404140</v>
      </c>
      <c r="K872" s="11">
        <v>-41.510109999999997</v>
      </c>
      <c r="L872" s="11">
        <v>146.00971000000001</v>
      </c>
      <c r="N872" s="8" t="s">
        <v>37</v>
      </c>
      <c r="O872" s="8">
        <v>1</v>
      </c>
      <c r="P872" s="8">
        <v>1</v>
      </c>
    </row>
    <row r="873" spans="1:16" x14ac:dyDescent="0.15">
      <c r="A873" s="7" t="s">
        <v>1152</v>
      </c>
      <c r="B873" s="9" t="str">
        <f>VLOOKUP(D873,[1]TASMaps!$H$4:$K$269,3,FALSE)</f>
        <v>TN10</v>
      </c>
      <c r="C873" s="9" t="str">
        <f>VLOOKUP(D873,[1]TASMaps!$H$4:$K$269,4,FALSE)</f>
        <v>Great Oyster</v>
      </c>
      <c r="D873" s="9">
        <v>6031</v>
      </c>
      <c r="E873" s="9" t="s">
        <v>408</v>
      </c>
      <c r="F873" s="9" t="s">
        <v>30</v>
      </c>
      <c r="G873" s="9" t="s">
        <v>62</v>
      </c>
      <c r="H873" s="8" t="s">
        <v>20</v>
      </c>
      <c r="I873" s="10">
        <v>605960</v>
      </c>
      <c r="J873" s="10">
        <v>5313650</v>
      </c>
      <c r="K873" s="11">
        <v>-42.322180000000003</v>
      </c>
      <c r="L873" s="11">
        <v>148.28593000000001</v>
      </c>
      <c r="N873" s="8">
        <v>2</v>
      </c>
      <c r="O873" s="8">
        <v>2</v>
      </c>
      <c r="P873" s="8">
        <v>1</v>
      </c>
    </row>
    <row r="874" spans="1:16" x14ac:dyDescent="0.15">
      <c r="A874" s="14" t="s">
        <v>1153</v>
      </c>
      <c r="B874" s="9" t="str">
        <f>VLOOKUP(D874,[1]TASMaps!$H$4:$K$269,3,FALSE)</f>
        <v>TK09</v>
      </c>
      <c r="C874" s="9" t="str">
        <f>VLOOKUP(D874,[1]TASMaps!$H$4:$K$269,4,FALSE)</f>
        <v>Ben Lomond</v>
      </c>
      <c r="D874" s="9">
        <v>5639</v>
      </c>
      <c r="E874" s="9" t="s">
        <v>155</v>
      </c>
      <c r="F874" s="9" t="s">
        <v>30</v>
      </c>
      <c r="G874" s="9" t="s">
        <v>78</v>
      </c>
      <c r="H874" s="8" t="s">
        <v>20</v>
      </c>
      <c r="I874" s="10">
        <v>560185</v>
      </c>
      <c r="J874" s="10">
        <v>5393300</v>
      </c>
      <c r="K874" s="11">
        <v>-41.609740000000002</v>
      </c>
      <c r="L874" s="11">
        <v>147.72232</v>
      </c>
      <c r="N874" s="8" t="s">
        <v>37</v>
      </c>
      <c r="P874" s="8">
        <v>1</v>
      </c>
    </row>
    <row r="875" spans="1:16" x14ac:dyDescent="0.15">
      <c r="A875" s="7" t="s">
        <v>1154</v>
      </c>
      <c r="B875" s="9" t="str">
        <f>VLOOKUP(D875,[1]TASMaps!$H$4:$K$269,3,FALSE)</f>
        <v>TN04</v>
      </c>
      <c r="C875" s="9" t="str">
        <f>VLOOKUP(D875,[1]TASMaps!$H$4:$K$269,4,FALSE)</f>
        <v>Macquarie Harbour</v>
      </c>
      <c r="D875" s="9">
        <v>3632</v>
      </c>
      <c r="E875" s="9" t="s">
        <v>1155</v>
      </c>
      <c r="F875" s="9" t="s">
        <v>30</v>
      </c>
      <c r="G875" s="9" t="s">
        <v>24</v>
      </c>
      <c r="H875" s="8" t="s">
        <v>20</v>
      </c>
      <c r="I875" s="10">
        <v>377840</v>
      </c>
      <c r="J875" s="10">
        <v>5322380</v>
      </c>
      <c r="K875" s="11">
        <v>-42.241210000000002</v>
      </c>
      <c r="L875" s="11">
        <v>145.51936000000001</v>
      </c>
      <c r="N875" s="8" t="s">
        <v>37</v>
      </c>
      <c r="O875" s="8">
        <v>2</v>
      </c>
      <c r="P875" s="8">
        <v>2</v>
      </c>
    </row>
    <row r="876" spans="1:16" x14ac:dyDescent="0.15">
      <c r="A876" s="7" t="s">
        <v>1156</v>
      </c>
      <c r="B876" s="9" t="str">
        <f>VLOOKUP(D876,[1]TASMaps!$H$4:$K$269,3,FALSE)</f>
        <v>TK08</v>
      </c>
      <c r="C876" s="9" t="str">
        <f>VLOOKUP(D876,[1]TASMaps!$H$4:$K$269,4,FALSE)</f>
        <v>Perth</v>
      </c>
      <c r="D876" s="9">
        <v>5240</v>
      </c>
      <c r="E876" s="9" t="s">
        <v>1157</v>
      </c>
      <c r="F876" s="9" t="s">
        <v>30</v>
      </c>
      <c r="G876" s="9" t="s">
        <v>87</v>
      </c>
      <c r="H876" s="8" t="s">
        <v>20</v>
      </c>
      <c r="I876" s="10">
        <v>533260</v>
      </c>
      <c r="J876" s="10">
        <v>5401510</v>
      </c>
      <c r="K876" s="11">
        <v>-41.537370000000003</v>
      </c>
      <c r="L876" s="11">
        <v>147.39873</v>
      </c>
      <c r="N876" s="8" t="s">
        <v>37</v>
      </c>
      <c r="P876" s="8">
        <v>1</v>
      </c>
    </row>
    <row r="877" spans="1:16" x14ac:dyDescent="0.15">
      <c r="A877" s="7" t="s">
        <v>1158</v>
      </c>
      <c r="B877" s="9" t="str">
        <f>VLOOKUP(D877,[1]TASMaps!$H$4:$K$269,3,FALSE)</f>
        <v>TJ09</v>
      </c>
      <c r="C877" s="9" t="str">
        <f>VLOOKUP(D877,[1]TASMaps!$H$4:$K$269,4,FALSE)</f>
        <v>Legerwood</v>
      </c>
      <c r="D877" s="9">
        <v>5444</v>
      </c>
      <c r="E877" s="9" t="s">
        <v>1159</v>
      </c>
      <c r="F877" s="9" t="s">
        <v>30</v>
      </c>
      <c r="G877" s="9" t="s">
        <v>210</v>
      </c>
      <c r="H877" s="8" t="s">
        <v>20</v>
      </c>
      <c r="I877" s="10">
        <v>547480</v>
      </c>
      <c r="J877" s="10">
        <v>5441800</v>
      </c>
      <c r="K877" s="11">
        <v>-41.173749999999998</v>
      </c>
      <c r="L877" s="11">
        <v>147.56603999999999</v>
      </c>
      <c r="N877" s="8" t="s">
        <v>37</v>
      </c>
      <c r="P877" s="8">
        <v>1</v>
      </c>
    </row>
    <row r="878" spans="1:16" x14ac:dyDescent="0.15">
      <c r="A878" s="7" t="s">
        <v>1160</v>
      </c>
      <c r="B878" s="9" t="str">
        <f>VLOOKUP(D878,[1]TASMaps!$H$4:$K$269,3,FALSE)</f>
        <v>TD09</v>
      </c>
      <c r="C878" s="9" t="str">
        <f>VLOOKUP(D878,[1]TASMaps!$H$4:$K$269,4,FALSE)</f>
        <v>Prime Seal</v>
      </c>
      <c r="D878" s="9">
        <v>5754</v>
      </c>
      <c r="E878" s="9" t="s">
        <v>1161</v>
      </c>
      <c r="F878" s="9" t="s">
        <v>23</v>
      </c>
      <c r="G878" s="9" t="s">
        <v>151</v>
      </c>
      <c r="H878" s="8" t="s">
        <v>20</v>
      </c>
      <c r="I878" s="10">
        <v>591070</v>
      </c>
      <c r="J878" s="10">
        <v>5549280</v>
      </c>
      <c r="K878" s="11">
        <v>-40.20194</v>
      </c>
      <c r="L878" s="11">
        <v>148.07005000000001</v>
      </c>
      <c r="N878" s="8">
        <v>3</v>
      </c>
      <c r="O878" s="8">
        <v>3</v>
      </c>
      <c r="P878" s="8">
        <v>3</v>
      </c>
    </row>
    <row r="879" spans="1:16" x14ac:dyDescent="0.15">
      <c r="A879" s="7" t="s">
        <v>1162</v>
      </c>
      <c r="B879" s="9" t="str">
        <f>VLOOKUP(D879,[1]TASMaps!$H$4:$K$269,3,FALSE)</f>
        <v>TQ07</v>
      </c>
      <c r="C879" s="9" t="str">
        <f>VLOOKUP(D879,[1]TASMaps!$H$4:$K$269,4,FALSE)</f>
        <v>Snowy Range</v>
      </c>
      <c r="D879" s="9">
        <v>4625</v>
      </c>
      <c r="E879" s="9" t="s">
        <v>684</v>
      </c>
      <c r="F879" s="9" t="s">
        <v>30</v>
      </c>
      <c r="G879" s="9" t="s">
        <v>19</v>
      </c>
      <c r="H879" s="8" t="s">
        <v>20</v>
      </c>
      <c r="I879" s="10">
        <v>479210</v>
      </c>
      <c r="J879" s="10">
        <v>5257865</v>
      </c>
      <c r="K879" s="11">
        <v>-42.831499999999998</v>
      </c>
      <c r="L879" s="11">
        <v>146.74563000000001</v>
      </c>
      <c r="N879" s="8" t="s">
        <v>37</v>
      </c>
      <c r="O879" s="8">
        <v>1</v>
      </c>
      <c r="P879" s="8">
        <v>1</v>
      </c>
    </row>
    <row r="880" spans="1:16" x14ac:dyDescent="0.15">
      <c r="A880" s="9" t="s">
        <v>1163</v>
      </c>
      <c r="B880" s="9" t="str">
        <f>VLOOKUP(D880,[1]TASMaps!$H$4:$K$269,3,FALSE)</f>
        <v>TK05</v>
      </c>
      <c r="C880" s="9" t="str">
        <f>VLOOKUP(D880,[1]TASMaps!$H$4:$K$269,4,FALSE)</f>
        <v>Black Bluff</v>
      </c>
      <c r="D880" s="9">
        <v>4039</v>
      </c>
      <c r="E880" s="9" t="s">
        <v>99</v>
      </c>
      <c r="F880" s="9" t="s">
        <v>30</v>
      </c>
      <c r="G880" s="9" t="s">
        <v>24</v>
      </c>
      <c r="H880" s="8" t="s">
        <v>20</v>
      </c>
      <c r="I880" s="10">
        <v>402770</v>
      </c>
      <c r="J880" s="10">
        <v>5390640</v>
      </c>
      <c r="K880" s="11">
        <v>-41.630040000000001</v>
      </c>
      <c r="L880" s="11">
        <v>145.83271999999999</v>
      </c>
      <c r="N880" s="8" t="s">
        <v>37</v>
      </c>
      <c r="P880" s="8">
        <v>1</v>
      </c>
    </row>
    <row r="881" spans="1:16" x14ac:dyDescent="0.15">
      <c r="A881" s="9" t="s">
        <v>1164</v>
      </c>
      <c r="B881" s="9" t="str">
        <f>VLOOKUP(D881,[1]TASMaps!$H$4:$K$269,3,FALSE)</f>
        <v>TN05</v>
      </c>
      <c r="C881" s="9" t="str">
        <f>VLOOKUP(D881,[1]TASMaps!$H$4:$K$269,4,FALSE)</f>
        <v>Frenchmans</v>
      </c>
      <c r="D881" s="9">
        <v>3832</v>
      </c>
      <c r="E881" s="9" t="s">
        <v>235</v>
      </c>
      <c r="F881" s="9" t="s">
        <v>23</v>
      </c>
      <c r="G881" s="9" t="s">
        <v>24</v>
      </c>
      <c r="H881" s="8" t="s">
        <v>20</v>
      </c>
      <c r="I881" s="10">
        <v>383980</v>
      </c>
      <c r="J881" s="10">
        <v>5321460</v>
      </c>
      <c r="K881" s="11">
        <v>-42.250430000000001</v>
      </c>
      <c r="L881" s="11">
        <v>145.59358</v>
      </c>
      <c r="N881" s="8" t="s">
        <v>37</v>
      </c>
      <c r="P881" s="8">
        <v>1</v>
      </c>
    </row>
    <row r="882" spans="1:16" x14ac:dyDescent="0.15">
      <c r="A882" s="7" t="s">
        <v>1165</v>
      </c>
      <c r="B882" s="9" t="str">
        <f>VLOOKUP(D882,[1]TASMaps!$H$4:$K$269,3,FALSE)</f>
        <v>TK03</v>
      </c>
      <c r="C882" s="9" t="str">
        <f>VLOOKUP(D882,[1]TASMaps!$H$4:$K$269,4,FALSE)</f>
        <v>Norfolk Range</v>
      </c>
      <c r="D882" s="9">
        <v>3240</v>
      </c>
      <c r="E882" s="9" t="s">
        <v>477</v>
      </c>
      <c r="F882" s="9" t="s">
        <v>30</v>
      </c>
      <c r="G882" s="9" t="s">
        <v>107</v>
      </c>
      <c r="H882" s="8" t="s">
        <v>20</v>
      </c>
      <c r="I882" s="10">
        <v>334560</v>
      </c>
      <c r="J882" s="10">
        <v>5402190</v>
      </c>
      <c r="K882" s="11">
        <v>-41.514830000000003</v>
      </c>
      <c r="L882" s="11">
        <v>145.01739000000001</v>
      </c>
      <c r="N882" s="8" t="s">
        <v>37</v>
      </c>
      <c r="O882" s="8">
        <v>1</v>
      </c>
      <c r="P882" s="8">
        <v>1</v>
      </c>
    </row>
    <row r="883" spans="1:16" x14ac:dyDescent="0.15">
      <c r="A883" s="9" t="s">
        <v>1166</v>
      </c>
      <c r="B883" s="9" t="str">
        <f>VLOOKUP(D883,[1]TASMaps!$H$4:$K$269,3,FALSE)</f>
        <v>TL05</v>
      </c>
      <c r="C883" s="9" t="str">
        <f>VLOOKUP(D883,[1]TASMaps!$H$4:$K$269,4,FALSE)</f>
        <v>Murchison</v>
      </c>
      <c r="D883" s="9">
        <v>3838</v>
      </c>
      <c r="E883" s="9" t="s">
        <v>202</v>
      </c>
      <c r="F883" s="9" t="s">
        <v>30</v>
      </c>
      <c r="G883" s="9" t="s">
        <v>24</v>
      </c>
      <c r="H883" s="8" t="s">
        <v>20</v>
      </c>
      <c r="I883" s="10">
        <v>392790</v>
      </c>
      <c r="J883" s="10">
        <v>5381000</v>
      </c>
      <c r="K883" s="11">
        <v>-41.71557</v>
      </c>
      <c r="L883" s="11">
        <v>145.71119999999999</v>
      </c>
      <c r="N883" s="8" t="s">
        <v>37</v>
      </c>
      <c r="P883" s="8">
        <v>1</v>
      </c>
    </row>
    <row r="884" spans="1:16" x14ac:dyDescent="0.15">
      <c r="A884" s="7" t="s">
        <v>1167</v>
      </c>
      <c r="B884" s="9" t="str">
        <f>VLOOKUP(D884,[1]TASMaps!$H$4:$K$269,3,FALSE)</f>
        <v>TN08</v>
      </c>
      <c r="C884" s="9" t="str">
        <f>VLOOKUP(D884,[1]TASMaps!$H$4:$K$269,4,FALSE)</f>
        <v>Tiberias</v>
      </c>
      <c r="D884" s="9">
        <v>5032</v>
      </c>
      <c r="E884" s="9" t="s">
        <v>519</v>
      </c>
      <c r="F884" s="9" t="s">
        <v>30</v>
      </c>
      <c r="G884" s="9" t="s">
        <v>36</v>
      </c>
      <c r="H884" s="8" t="s">
        <v>20</v>
      </c>
      <c r="I884" s="10">
        <v>511490</v>
      </c>
      <c r="J884" s="10">
        <v>5324020</v>
      </c>
      <c r="K884" s="11">
        <v>-42.23592</v>
      </c>
      <c r="L884" s="11">
        <v>147.13925</v>
      </c>
      <c r="N884" s="8" t="s">
        <v>37</v>
      </c>
      <c r="O884" s="8">
        <v>1</v>
      </c>
      <c r="P884" s="8">
        <v>2</v>
      </c>
    </row>
    <row r="885" spans="1:16" x14ac:dyDescent="0.15">
      <c r="A885" s="7" t="s">
        <v>1168</v>
      </c>
      <c r="B885" s="9" t="str">
        <f>VLOOKUP(D885,[1]TASMaps!$H$4:$K$269,3,FALSE)</f>
        <v>TP08</v>
      </c>
      <c r="C885" s="9" t="str">
        <f>VLOOKUP(D885,[1]TASMaps!$H$4:$K$269,4,FALSE)</f>
        <v>Green Ponds</v>
      </c>
      <c r="D885" s="9">
        <v>5027</v>
      </c>
      <c r="E885" s="9" t="s">
        <v>460</v>
      </c>
      <c r="F885" s="9" t="s">
        <v>30</v>
      </c>
      <c r="G885" s="9" t="s">
        <v>59</v>
      </c>
      <c r="H885" s="8" t="s">
        <v>20</v>
      </c>
      <c r="I885" s="10">
        <v>502605</v>
      </c>
      <c r="J885" s="10">
        <v>5277540</v>
      </c>
      <c r="K885" s="11">
        <v>-42.654600000000002</v>
      </c>
      <c r="L885" s="11">
        <v>147.03178</v>
      </c>
      <c r="N885" s="8" t="s">
        <v>37</v>
      </c>
      <c r="O885" s="8">
        <v>1</v>
      </c>
      <c r="P885" s="8">
        <v>1</v>
      </c>
    </row>
    <row r="886" spans="1:16" x14ac:dyDescent="0.15">
      <c r="A886" s="7" t="s">
        <v>1169</v>
      </c>
      <c r="B886" s="9" t="str">
        <f>VLOOKUP(D886,[1]TASMaps!$H$4:$K$269,3,FALSE)</f>
        <v>TC09</v>
      </c>
      <c r="C886" s="9" t="str">
        <f>VLOOKUP(D886,[1]TASMaps!$H$4:$K$269,4,FALSE)</f>
        <v>Blyth</v>
      </c>
      <c r="D886" s="9">
        <v>5658</v>
      </c>
      <c r="E886" s="9" t="s">
        <v>1170</v>
      </c>
      <c r="F886" s="9" t="s">
        <v>30</v>
      </c>
      <c r="G886" s="9" t="s">
        <v>151</v>
      </c>
      <c r="H886" s="8" t="s">
        <v>20</v>
      </c>
      <c r="I886" s="10">
        <v>570460</v>
      </c>
      <c r="J886" s="10">
        <v>5585030</v>
      </c>
      <c r="K886" s="11">
        <v>-39.881860000000003</v>
      </c>
      <c r="L886" s="11">
        <v>147.82401999999999</v>
      </c>
      <c r="N886" s="8" t="s">
        <v>37</v>
      </c>
      <c r="P886" s="8">
        <v>1</v>
      </c>
    </row>
    <row r="887" spans="1:16" x14ac:dyDescent="0.15">
      <c r="A887" s="7" t="s">
        <v>1171</v>
      </c>
      <c r="B887" s="9" t="str">
        <f>VLOOKUP(D887,[1]TASMaps!$H$4:$K$269,3,FALSE)</f>
        <v>TR09</v>
      </c>
      <c r="C887" s="9" t="str">
        <f>VLOOKUP(D887,[1]TASMaps!$H$4:$K$269,4,FALSE)</f>
        <v>Tasman Peninsula</v>
      </c>
      <c r="D887" s="9">
        <v>5623</v>
      </c>
      <c r="E887" s="9" t="s">
        <v>330</v>
      </c>
      <c r="F887" s="9" t="s">
        <v>18</v>
      </c>
      <c r="G887" s="9" t="s">
        <v>83</v>
      </c>
      <c r="H887" s="8" t="s">
        <v>20</v>
      </c>
      <c r="I887" s="10">
        <v>576910</v>
      </c>
      <c r="J887" s="10">
        <v>5230300</v>
      </c>
      <c r="K887" s="11">
        <v>-43.07611</v>
      </c>
      <c r="L887" s="11">
        <v>147.94475</v>
      </c>
      <c r="N887" s="8" t="s">
        <v>37</v>
      </c>
      <c r="P887" s="8">
        <v>1</v>
      </c>
    </row>
    <row r="888" spans="1:16" x14ac:dyDescent="0.15">
      <c r="A888" s="7" t="s">
        <v>1172</v>
      </c>
      <c r="B888" s="9" t="str">
        <f>VLOOKUP(D888,[1]TASMaps!$H$4:$K$269,3,FALSE)</f>
        <v>TR06</v>
      </c>
      <c r="C888" s="9" t="str">
        <f>VLOOKUP(D888,[1]TASMaps!$H$4:$K$269,4,FALSE)</f>
        <v>Western Arthur</v>
      </c>
      <c r="D888" s="9">
        <v>4421</v>
      </c>
      <c r="E888" s="9" t="s">
        <v>46</v>
      </c>
      <c r="F888" s="9" t="s">
        <v>30</v>
      </c>
      <c r="G888" s="9" t="s">
        <v>27</v>
      </c>
      <c r="H888" s="8" t="s">
        <v>20</v>
      </c>
      <c r="I888" s="10">
        <v>445310</v>
      </c>
      <c r="J888" s="10">
        <v>5219690</v>
      </c>
      <c r="K888" s="11">
        <v>-43.173569999999998</v>
      </c>
      <c r="L888" s="11">
        <v>146.32713000000001</v>
      </c>
      <c r="N888" s="8" t="s">
        <v>37</v>
      </c>
      <c r="O888" s="8">
        <v>2</v>
      </c>
      <c r="P888" s="8">
        <v>2</v>
      </c>
    </row>
    <row r="889" spans="1:16" x14ac:dyDescent="0.15">
      <c r="A889" s="9" t="s">
        <v>1173</v>
      </c>
      <c r="B889" s="9" t="str">
        <f>VLOOKUP(D889,[1]TASMaps!$H$4:$K$269,3,FALSE)</f>
        <v>TP08</v>
      </c>
      <c r="C889" s="9" t="str">
        <f>VLOOKUP(D889,[1]TASMaps!$H$4:$K$269,4,FALSE)</f>
        <v>Green Ponds</v>
      </c>
      <c r="D889" s="9">
        <v>5028</v>
      </c>
      <c r="E889" s="9" t="s">
        <v>498</v>
      </c>
      <c r="F889" s="9" t="s">
        <v>104</v>
      </c>
      <c r="G889" s="9" t="s">
        <v>36</v>
      </c>
      <c r="H889" s="8" t="s">
        <v>20</v>
      </c>
      <c r="I889" s="10">
        <v>500020</v>
      </c>
      <c r="J889" s="10">
        <v>5283400</v>
      </c>
      <c r="K889" s="11">
        <v>-42.60183</v>
      </c>
      <c r="L889" s="11">
        <v>147.00023999999999</v>
      </c>
      <c r="N889" s="8" t="s">
        <v>37</v>
      </c>
      <c r="P889" s="8">
        <v>1</v>
      </c>
    </row>
    <row r="890" spans="1:16" x14ac:dyDescent="0.15">
      <c r="A890" s="7" t="s">
        <v>1174</v>
      </c>
      <c r="B890" s="9" t="str">
        <f>VLOOKUP(D890,[1]TASMaps!$H$4:$K$269,3,FALSE)</f>
        <v>TL06</v>
      </c>
      <c r="C890" s="9" t="str">
        <f>VLOOKUP(D890,[1]TASMaps!$H$4:$K$269,4,FALSE)</f>
        <v>Jerusalem</v>
      </c>
      <c r="D890" s="9">
        <v>4436</v>
      </c>
      <c r="E890" s="9" t="s">
        <v>581</v>
      </c>
      <c r="F890" s="9" t="s">
        <v>30</v>
      </c>
      <c r="G890" s="9" t="s">
        <v>33</v>
      </c>
      <c r="H890" s="8" t="s">
        <v>20</v>
      </c>
      <c r="I890" s="10">
        <v>442315</v>
      </c>
      <c r="J890" s="10">
        <v>5369590</v>
      </c>
      <c r="K890" s="11">
        <v>-41.82347</v>
      </c>
      <c r="L890" s="11">
        <v>146.30538999999999</v>
      </c>
      <c r="N890" s="8" t="s">
        <v>37</v>
      </c>
      <c r="O890" s="8">
        <v>1</v>
      </c>
      <c r="P890" s="8">
        <v>2</v>
      </c>
    </row>
    <row r="891" spans="1:16" x14ac:dyDescent="0.15">
      <c r="A891" s="7" t="s">
        <v>1175</v>
      </c>
      <c r="B891" s="9" t="str">
        <f>VLOOKUP(D891,[1]TASMaps!$H$4:$K$269,3,FALSE)</f>
        <v>TQ06</v>
      </c>
      <c r="C891" s="9" t="str">
        <f>VLOOKUP(D891,[1]TASMaps!$H$4:$K$269,4,FALSE)</f>
        <v>Lake Pedder</v>
      </c>
      <c r="D891" s="9">
        <v>4224</v>
      </c>
      <c r="E891" s="9" t="s">
        <v>300</v>
      </c>
      <c r="F891" s="9" t="s">
        <v>23</v>
      </c>
      <c r="G891" s="9" t="s">
        <v>19</v>
      </c>
      <c r="H891" s="8" t="s">
        <v>20</v>
      </c>
      <c r="I891" s="10">
        <v>434040</v>
      </c>
      <c r="J891" s="10">
        <v>5241370</v>
      </c>
      <c r="K891" s="11">
        <v>-42.977469999999997</v>
      </c>
      <c r="L891" s="11">
        <v>146.19105999999999</v>
      </c>
      <c r="N891" s="8" t="s">
        <v>37</v>
      </c>
      <c r="O891" s="8">
        <v>1</v>
      </c>
      <c r="P891" s="8">
        <v>1</v>
      </c>
    </row>
    <row r="892" spans="1:16" x14ac:dyDescent="0.15">
      <c r="A892" s="9" t="s">
        <v>1176</v>
      </c>
      <c r="B892" s="9" t="str">
        <f>VLOOKUP(D892,[1]TASMaps!$H$4:$K$269,3,FALSE)</f>
        <v>TQ08</v>
      </c>
      <c r="C892" s="9" t="str">
        <f>VLOOKUP(D892,[1]TASMaps!$H$4:$K$269,4,FALSE)</f>
        <v>Wellington</v>
      </c>
      <c r="D892" s="9">
        <v>5026</v>
      </c>
      <c r="E892" s="9" t="s">
        <v>505</v>
      </c>
      <c r="F892" s="9" t="s">
        <v>30</v>
      </c>
      <c r="G892" s="9" t="s">
        <v>596</v>
      </c>
      <c r="H892" s="8" t="s">
        <v>20</v>
      </c>
      <c r="I892" s="10">
        <v>509950</v>
      </c>
      <c r="J892" s="10">
        <v>5267750</v>
      </c>
      <c r="K892" s="11">
        <v>-42.742699999999999</v>
      </c>
      <c r="L892" s="11">
        <v>147.12156999999999</v>
      </c>
      <c r="N892" s="8" t="s">
        <v>37</v>
      </c>
      <c r="P892" s="8">
        <v>1</v>
      </c>
    </row>
    <row r="893" spans="1:16" x14ac:dyDescent="0.15">
      <c r="A893" s="7" t="s">
        <v>1177</v>
      </c>
      <c r="B893" s="9" t="str">
        <f>VLOOKUP(D893,[1]TASMaps!$H$4:$K$269,3,FALSE)</f>
        <v>TQ08</v>
      </c>
      <c r="C893" s="9" t="str">
        <f>VLOOKUP(D893,[1]TASMaps!$H$4:$K$269,4,FALSE)</f>
        <v>Wellington</v>
      </c>
      <c r="D893" s="9">
        <v>5025</v>
      </c>
      <c r="E893" s="9" t="s">
        <v>84</v>
      </c>
      <c r="F893" s="9" t="s">
        <v>116</v>
      </c>
      <c r="G893" s="9" t="s">
        <v>85</v>
      </c>
      <c r="H893" s="8" t="s">
        <v>20</v>
      </c>
      <c r="I893" s="10">
        <v>516420</v>
      </c>
      <c r="J893" s="10">
        <v>5250470</v>
      </c>
      <c r="K893" s="11">
        <v>-42.898200000000003</v>
      </c>
      <c r="L893" s="11">
        <v>147.20112</v>
      </c>
      <c r="N893" s="8" t="s">
        <v>37</v>
      </c>
      <c r="P893" s="8">
        <v>1</v>
      </c>
    </row>
    <row r="894" spans="1:16" x14ac:dyDescent="0.15">
      <c r="A894" s="7" t="s">
        <v>1178</v>
      </c>
      <c r="B894" s="9" t="str">
        <f>VLOOKUP(D894,[1]TASMaps!$H$4:$K$269,3,FALSE)</f>
        <v>TL05</v>
      </c>
      <c r="C894" s="9" t="str">
        <f>VLOOKUP(D894,[1]TASMaps!$H$4:$K$269,4,FALSE)</f>
        <v>Murchison</v>
      </c>
      <c r="D894" s="9">
        <v>4036</v>
      </c>
      <c r="E894" s="9" t="s">
        <v>29</v>
      </c>
      <c r="F894" s="9" t="s">
        <v>30</v>
      </c>
      <c r="G894" s="9" t="s">
        <v>24</v>
      </c>
      <c r="H894" s="8" t="s">
        <v>20</v>
      </c>
      <c r="I894" s="10">
        <v>416975</v>
      </c>
      <c r="J894" s="10">
        <v>5365105</v>
      </c>
      <c r="K894" s="11">
        <v>-41.861609999999999</v>
      </c>
      <c r="L894" s="11">
        <v>145.99967000000001</v>
      </c>
      <c r="M894" s="8" t="s">
        <v>21</v>
      </c>
      <c r="N894" s="8">
        <v>3</v>
      </c>
      <c r="O894" s="8">
        <v>3</v>
      </c>
      <c r="P894" s="8">
        <v>4</v>
      </c>
    </row>
    <row r="895" spans="1:16" x14ac:dyDescent="0.15">
      <c r="A895" s="7" t="s">
        <v>1179</v>
      </c>
      <c r="B895" s="9" t="str">
        <f>VLOOKUP(D895,[1]TASMaps!$H$4:$K$269,3,FALSE)</f>
        <v>TK09</v>
      </c>
      <c r="C895" s="9" t="str">
        <f>VLOOKUP(D895,[1]TASMaps!$H$4:$K$269,4,FALSE)</f>
        <v>Ben Lomond</v>
      </c>
      <c r="D895" s="9">
        <v>5639</v>
      </c>
      <c r="E895" s="9" t="s">
        <v>155</v>
      </c>
      <c r="F895" s="9" t="s">
        <v>18</v>
      </c>
      <c r="G895" s="9" t="s">
        <v>44</v>
      </c>
      <c r="H895" s="8" t="s">
        <v>20</v>
      </c>
      <c r="I895" s="10">
        <v>566860</v>
      </c>
      <c r="J895" s="10">
        <v>5395460</v>
      </c>
      <c r="K895" s="11">
        <v>-41.589759999999998</v>
      </c>
      <c r="L895" s="11">
        <v>147.80217999999999</v>
      </c>
      <c r="N895" s="8" t="s">
        <v>37</v>
      </c>
      <c r="P895" s="8">
        <v>1</v>
      </c>
    </row>
    <row r="896" spans="1:16" x14ac:dyDescent="0.15">
      <c r="A896" s="9" t="s">
        <v>1180</v>
      </c>
      <c r="B896" s="9" t="str">
        <f>VLOOKUP(D896,[1]TASMaps!$H$4:$K$269,3,FALSE)</f>
        <v>TM07</v>
      </c>
      <c r="C896" s="9" t="str">
        <f>VLOOKUP(D896,[1]TASMaps!$H$4:$K$269,4,FALSE)</f>
        <v>Penstock</v>
      </c>
      <c r="D896" s="9">
        <v>4835</v>
      </c>
      <c r="E896" s="9" t="s">
        <v>923</v>
      </c>
      <c r="F896" s="9" t="s">
        <v>18</v>
      </c>
      <c r="G896" s="9" t="s">
        <v>36</v>
      </c>
      <c r="H896" s="8" t="s">
        <v>20</v>
      </c>
      <c r="I896" s="10">
        <v>487710</v>
      </c>
      <c r="J896" s="10">
        <v>5356690</v>
      </c>
      <c r="K896" s="11">
        <v>-41.941659999999999</v>
      </c>
      <c r="L896" s="11">
        <v>146.85174000000001</v>
      </c>
      <c r="N896" s="8" t="s">
        <v>37</v>
      </c>
      <c r="P896" s="8">
        <v>1</v>
      </c>
    </row>
    <row r="897" spans="1:16" x14ac:dyDescent="0.15">
      <c r="A897" s="7" t="s">
        <v>1181</v>
      </c>
      <c r="B897" s="9" t="str">
        <f>VLOOKUP(D897,[1]TASMaps!$H$4:$K$269,3,FALSE)</f>
        <v>TP09</v>
      </c>
      <c r="C897" s="9" t="str">
        <f>VLOOKUP(D897,[1]TASMaps!$H$4:$K$269,4,FALSE)</f>
        <v>Prosser</v>
      </c>
      <c r="D897" s="9">
        <v>5628</v>
      </c>
      <c r="E897" s="9" t="s">
        <v>1182</v>
      </c>
      <c r="F897" s="9" t="s">
        <v>18</v>
      </c>
      <c r="G897" s="9" t="s">
        <v>62</v>
      </c>
      <c r="H897" s="8" t="s">
        <v>20</v>
      </c>
      <c r="I897" s="10">
        <v>570860</v>
      </c>
      <c r="J897" s="10">
        <v>5283080</v>
      </c>
      <c r="K897" s="11">
        <v>-42.60145</v>
      </c>
      <c r="L897" s="11">
        <v>147.86378999999999</v>
      </c>
      <c r="N897" s="8" t="s">
        <v>37</v>
      </c>
      <c r="P897" s="8">
        <v>1</v>
      </c>
    </row>
    <row r="898" spans="1:16" x14ac:dyDescent="0.15">
      <c r="A898" s="7" t="s">
        <v>1183</v>
      </c>
      <c r="B898" s="9" t="str">
        <f>VLOOKUP(D898,[1]TASMaps!$H$4:$K$269,3,FALSE)</f>
        <v>TP06</v>
      </c>
      <c r="C898" s="9" t="str">
        <f>VLOOKUP(D898,[1]TASMaps!$H$4:$K$269,4,FALSE)</f>
        <v>Denison Range</v>
      </c>
      <c r="D898" s="9">
        <v>4427</v>
      </c>
      <c r="E898" s="9" t="s">
        <v>327</v>
      </c>
      <c r="F898" s="9" t="s">
        <v>104</v>
      </c>
      <c r="G898" s="9" t="s">
        <v>19</v>
      </c>
      <c r="H898" s="8" t="s">
        <v>20</v>
      </c>
      <c r="I898" s="10">
        <v>447095</v>
      </c>
      <c r="J898" s="10">
        <v>5274985</v>
      </c>
      <c r="K898" s="11">
        <v>-42.675789999999999</v>
      </c>
      <c r="L898" s="11">
        <v>146.35431</v>
      </c>
      <c r="M898" s="8" t="s">
        <v>21</v>
      </c>
      <c r="N898" s="8">
        <v>3</v>
      </c>
      <c r="O898" s="8">
        <v>3</v>
      </c>
      <c r="P898" s="8">
        <v>5</v>
      </c>
    </row>
    <row r="899" spans="1:16" x14ac:dyDescent="0.15">
      <c r="A899" s="7" t="s">
        <v>1184</v>
      </c>
      <c r="B899" s="9" t="str">
        <f>VLOOKUP(D899,[1]TASMaps!$H$4:$K$269,3,FALSE)</f>
        <v>TP07</v>
      </c>
      <c r="C899" s="9" t="str">
        <f>VLOOKUP(D899,[1]TASMaps!$H$4:$K$269,4,FALSE)</f>
        <v>Meadowbank</v>
      </c>
      <c r="D899" s="9">
        <v>4629</v>
      </c>
      <c r="E899" s="9" t="s">
        <v>1185</v>
      </c>
      <c r="F899" s="9" t="s">
        <v>30</v>
      </c>
      <c r="G899" s="9" t="s">
        <v>36</v>
      </c>
      <c r="H899" s="8" t="s">
        <v>20</v>
      </c>
      <c r="I899" s="10">
        <v>465330</v>
      </c>
      <c r="J899" s="10">
        <v>5296510</v>
      </c>
      <c r="K899" s="11">
        <v>-42.482990000000001</v>
      </c>
      <c r="L899" s="11">
        <v>146.57816</v>
      </c>
      <c r="N899" s="8" t="s">
        <v>37</v>
      </c>
      <c r="P899" s="8">
        <v>1</v>
      </c>
    </row>
    <row r="900" spans="1:16" x14ac:dyDescent="0.15">
      <c r="A900" s="7" t="s">
        <v>1186</v>
      </c>
      <c r="B900" s="9" t="str">
        <f>VLOOKUP(D900,[1]TASMaps!$H$4:$K$269,3,FALSE)</f>
        <v>TM05</v>
      </c>
      <c r="C900" s="9" t="str">
        <f>VLOOKUP(D900,[1]TASMaps!$H$4:$K$269,4,FALSE)</f>
        <v>Eldon</v>
      </c>
      <c r="D900" s="9">
        <v>3833</v>
      </c>
      <c r="E900" s="9" t="s">
        <v>473</v>
      </c>
      <c r="F900" s="9" t="s">
        <v>18</v>
      </c>
      <c r="G900" s="9" t="s">
        <v>24</v>
      </c>
      <c r="H900" s="8" t="s">
        <v>20</v>
      </c>
      <c r="I900" s="10">
        <v>387310</v>
      </c>
      <c r="J900" s="10">
        <v>5334670</v>
      </c>
      <c r="K900" s="11">
        <v>-42.131979999999999</v>
      </c>
      <c r="L900" s="11">
        <v>145.63649000000001</v>
      </c>
      <c r="N900" s="8" t="s">
        <v>37</v>
      </c>
      <c r="P900" s="8">
        <v>1</v>
      </c>
    </row>
    <row r="901" spans="1:16" x14ac:dyDescent="0.15">
      <c r="A901" s="7" t="s">
        <v>1187</v>
      </c>
      <c r="B901" s="9" t="str">
        <f>VLOOKUP(D901,[1]TASMaps!$H$4:$K$269,3,FALSE)</f>
        <v>TP06</v>
      </c>
      <c r="C901" s="9" t="str">
        <f>VLOOKUP(D901,[1]TASMaps!$H$4:$K$269,4,FALSE)</f>
        <v>Denison Range</v>
      </c>
      <c r="D901" s="9">
        <v>4427</v>
      </c>
      <c r="E901" s="9" t="s">
        <v>327</v>
      </c>
      <c r="F901" s="9" t="s">
        <v>30</v>
      </c>
      <c r="G901" s="9" t="s">
        <v>19</v>
      </c>
      <c r="H901" s="8" t="s">
        <v>20</v>
      </c>
      <c r="I901" s="10">
        <v>456400</v>
      </c>
      <c r="J901" s="10">
        <v>5270380</v>
      </c>
      <c r="K901" s="11">
        <v>-42.717840000000002</v>
      </c>
      <c r="L901" s="11">
        <v>146.46752000000001</v>
      </c>
      <c r="N901" s="8" t="s">
        <v>37</v>
      </c>
      <c r="O901" s="8">
        <v>1</v>
      </c>
      <c r="P901" s="8">
        <v>1</v>
      </c>
    </row>
    <row r="902" spans="1:16" x14ac:dyDescent="0.15">
      <c r="A902" s="9" t="s">
        <v>1188</v>
      </c>
      <c r="B902" s="9" t="str">
        <f>VLOOKUP(D902,[1]TASMaps!$H$4:$K$269,3,FALSE)</f>
        <v>TS08</v>
      </c>
      <c r="C902" s="9" t="str">
        <f>VLOOKUP(D902,[1]TASMaps!$H$4:$K$269,4,FALSE)</f>
        <v>South Bruny</v>
      </c>
      <c r="D902" s="9">
        <v>5219</v>
      </c>
      <c r="E902" s="9" t="s">
        <v>109</v>
      </c>
      <c r="F902" s="9" t="s">
        <v>30</v>
      </c>
      <c r="G902" s="9" t="s">
        <v>110</v>
      </c>
      <c r="H902" s="8" t="s">
        <v>20</v>
      </c>
      <c r="I902" s="10">
        <v>524620</v>
      </c>
      <c r="J902" s="10">
        <v>5195850</v>
      </c>
      <c r="K902" s="11">
        <v>-43.38982</v>
      </c>
      <c r="L902" s="11">
        <v>147.30398</v>
      </c>
      <c r="N902" s="8" t="s">
        <v>37</v>
      </c>
      <c r="P902" s="8">
        <v>1</v>
      </c>
    </row>
    <row r="903" spans="1:16" x14ac:dyDescent="0.15">
      <c r="A903" s="9" t="s">
        <v>1189</v>
      </c>
      <c r="B903" s="9" t="str">
        <f>VLOOKUP(D903,[1]TASMaps!$H$4:$K$269,3,FALSE)</f>
        <v>TM08</v>
      </c>
      <c r="C903" s="9" t="str">
        <f>VLOOKUP(D903,[1]TASMaps!$H$4:$K$269,4,FALSE)</f>
        <v>Dogs Head Tier</v>
      </c>
      <c r="D903" s="9">
        <v>5034</v>
      </c>
      <c r="E903" s="9" t="s">
        <v>378</v>
      </c>
      <c r="F903" s="9" t="s">
        <v>18</v>
      </c>
      <c r="G903" s="9" t="s">
        <v>36</v>
      </c>
      <c r="H903" s="8" t="s">
        <v>20</v>
      </c>
      <c r="I903" s="10">
        <v>508140</v>
      </c>
      <c r="J903" s="10">
        <v>5340490</v>
      </c>
      <c r="K903" s="11">
        <v>-42.087629999999997</v>
      </c>
      <c r="L903" s="11">
        <v>147.09842</v>
      </c>
      <c r="N903" s="8" t="s">
        <v>37</v>
      </c>
      <c r="P903" s="8">
        <v>1</v>
      </c>
    </row>
    <row r="904" spans="1:16" x14ac:dyDescent="0.15">
      <c r="A904" s="9" t="s">
        <v>1190</v>
      </c>
      <c r="B904" s="9" t="str">
        <f>VLOOKUP(D904,[1]TASMaps!$H$4:$K$269,3,FALSE)</f>
        <v>TR09</v>
      </c>
      <c r="C904" s="9" t="str">
        <f>VLOOKUP(D904,[1]TASMaps!$H$4:$K$269,4,FALSE)</f>
        <v>Tasman Peninsula</v>
      </c>
      <c r="D904" s="9">
        <v>5522</v>
      </c>
      <c r="E904" s="9" t="s">
        <v>82</v>
      </c>
      <c r="F904" s="9" t="s">
        <v>30</v>
      </c>
      <c r="G904" s="9" t="s">
        <v>83</v>
      </c>
      <c r="H904" s="8" t="s">
        <v>20</v>
      </c>
      <c r="I904" s="10">
        <v>567590</v>
      </c>
      <c r="J904" s="10">
        <v>5224790</v>
      </c>
      <c r="K904" s="11">
        <v>-43.126609999999999</v>
      </c>
      <c r="L904" s="11">
        <v>147.83095</v>
      </c>
      <c r="N904" s="8" t="s">
        <v>37</v>
      </c>
      <c r="P904" s="8">
        <v>1</v>
      </c>
    </row>
    <row r="905" spans="1:16" x14ac:dyDescent="0.15">
      <c r="A905" s="7" t="s">
        <v>1191</v>
      </c>
      <c r="B905" s="9" t="str">
        <f>VLOOKUP(D905,[1]TASMaps!$H$4:$K$269,3,FALSE)</f>
        <v>TN09</v>
      </c>
      <c r="C905" s="9" t="str">
        <f>VLOOKUP(D905,[1]TASMaps!$H$4:$K$269,4,FALSE)</f>
        <v>Swanston</v>
      </c>
      <c r="D905" s="9">
        <v>5632</v>
      </c>
      <c r="E905" s="9" t="s">
        <v>765</v>
      </c>
      <c r="F905" s="9" t="s">
        <v>30</v>
      </c>
      <c r="G905" s="9" t="s">
        <v>62</v>
      </c>
      <c r="H905" s="8" t="s">
        <v>20</v>
      </c>
      <c r="I905" s="10">
        <v>572810</v>
      </c>
      <c r="J905" s="10">
        <v>5326120</v>
      </c>
      <c r="K905" s="11">
        <v>-42.213700000000003</v>
      </c>
      <c r="L905" s="11">
        <v>147.88211000000001</v>
      </c>
      <c r="N905" s="8" t="s">
        <v>37</v>
      </c>
      <c r="P905" s="8">
        <v>1</v>
      </c>
    </row>
    <row r="906" spans="1:16" x14ac:dyDescent="0.15">
      <c r="A906" s="7" t="s">
        <v>1192</v>
      </c>
      <c r="B906" s="9" t="str">
        <f>VLOOKUP(D906,[1]TASMaps!$H$4:$K$269,3,FALSE)</f>
        <v>TK05</v>
      </c>
      <c r="C906" s="9" t="str">
        <f>VLOOKUP(D906,[1]TASMaps!$H$4:$K$269,4,FALSE)</f>
        <v>Black Bluff</v>
      </c>
      <c r="D906" s="9">
        <v>4041</v>
      </c>
      <c r="E906" s="9" t="s">
        <v>180</v>
      </c>
      <c r="F906" s="9" t="s">
        <v>30</v>
      </c>
      <c r="G906" s="9" t="s">
        <v>113</v>
      </c>
      <c r="H906" s="8" t="s">
        <v>20</v>
      </c>
      <c r="I906" s="10">
        <v>407500</v>
      </c>
      <c r="J906" s="10">
        <v>5412770</v>
      </c>
      <c r="K906" s="11">
        <v>-41.431310000000003</v>
      </c>
      <c r="L906" s="11">
        <v>145.8929</v>
      </c>
      <c r="M906" s="8" t="s">
        <v>21</v>
      </c>
      <c r="N906" s="8" t="s">
        <v>37</v>
      </c>
      <c r="O906" s="8">
        <v>2</v>
      </c>
      <c r="P906" s="8">
        <v>2</v>
      </c>
    </row>
    <row r="907" spans="1:16" x14ac:dyDescent="0.15">
      <c r="A907" s="7" t="s">
        <v>1193</v>
      </c>
      <c r="B907" s="9" t="str">
        <f>VLOOKUP(D907,[1]TASMaps!$H$4:$K$269,3,FALSE)</f>
        <v>TK09</v>
      </c>
      <c r="C907" s="9" t="str">
        <f>VLOOKUP(D907,[1]TASMaps!$H$4:$K$269,4,FALSE)</f>
        <v>Ben Lomond</v>
      </c>
      <c r="D907" s="9">
        <v>5639</v>
      </c>
      <c r="E907" s="9" t="s">
        <v>155</v>
      </c>
      <c r="F907" s="9" t="s">
        <v>18</v>
      </c>
      <c r="G907" s="9" t="s">
        <v>44</v>
      </c>
      <c r="H907" s="8" t="s">
        <v>20</v>
      </c>
      <c r="I907" s="10">
        <v>571170</v>
      </c>
      <c r="J907" s="10">
        <v>5400110</v>
      </c>
      <c r="K907" s="11">
        <v>-41.547510000000003</v>
      </c>
      <c r="L907" s="11">
        <v>147.85334</v>
      </c>
      <c r="M907" s="8" t="s">
        <v>21</v>
      </c>
      <c r="N907" s="8" t="s">
        <v>37</v>
      </c>
      <c r="P907" s="8">
        <v>1</v>
      </c>
    </row>
    <row r="908" spans="1:16" x14ac:dyDescent="0.15">
      <c r="A908" s="7" t="s">
        <v>1194</v>
      </c>
      <c r="B908" s="9" t="str">
        <f>VLOOKUP(D908,[1]TASMaps!$H$4:$K$269,3,FALSE)</f>
        <v>TK09</v>
      </c>
      <c r="C908" s="9" t="str">
        <f>VLOOKUP(D908,[1]TASMaps!$H$4:$K$269,4,FALSE)</f>
        <v>Ben Lomond</v>
      </c>
      <c r="D908" s="9">
        <v>5640</v>
      </c>
      <c r="E908" s="9" t="s">
        <v>1195</v>
      </c>
      <c r="F908" s="9" t="s">
        <v>18</v>
      </c>
      <c r="G908" s="9" t="s">
        <v>44</v>
      </c>
      <c r="H908" s="8" t="s">
        <v>20</v>
      </c>
      <c r="I908" s="10">
        <v>569450</v>
      </c>
      <c r="J908" s="10">
        <v>5400860</v>
      </c>
      <c r="K908" s="11">
        <v>-41.540900000000001</v>
      </c>
      <c r="L908" s="11">
        <v>147.83262999999999</v>
      </c>
      <c r="M908" s="8" t="s">
        <v>21</v>
      </c>
      <c r="N908" s="8" t="s">
        <v>37</v>
      </c>
      <c r="O908" s="8">
        <v>1</v>
      </c>
      <c r="P908" s="8">
        <v>1</v>
      </c>
    </row>
    <row r="909" spans="1:16" x14ac:dyDescent="0.15">
      <c r="A909" s="7" t="s">
        <v>1196</v>
      </c>
      <c r="H909" s="8"/>
      <c r="K909" s="11"/>
      <c r="L909" s="11"/>
      <c r="M909" s="8" t="s">
        <v>21</v>
      </c>
      <c r="P909" s="8">
        <v>1</v>
      </c>
    </row>
    <row r="910" spans="1:16" x14ac:dyDescent="0.15">
      <c r="A910" s="9" t="s">
        <v>1197</v>
      </c>
      <c r="B910" s="9" t="str">
        <f>VLOOKUP(D910,[1]TASMaps!$H$4:$K$269,3,FALSE)</f>
        <v>TM06</v>
      </c>
      <c r="C910" s="9" t="str">
        <f>VLOOKUP(D910,[1]TASMaps!$H$4:$K$269,4,FALSE)</f>
        <v>St Clair</v>
      </c>
      <c r="D910" s="9">
        <v>4235</v>
      </c>
      <c r="E910" s="9" t="s">
        <v>32</v>
      </c>
      <c r="F910" s="9" t="s">
        <v>104</v>
      </c>
      <c r="G910" s="9" t="s">
        <v>36</v>
      </c>
      <c r="H910" s="8" t="s">
        <v>20</v>
      </c>
      <c r="I910" s="10">
        <v>427280</v>
      </c>
      <c r="J910" s="10">
        <v>5352790</v>
      </c>
      <c r="K910" s="11">
        <v>-41.973529999999997</v>
      </c>
      <c r="L910" s="11">
        <v>146.12228999999999</v>
      </c>
      <c r="N910" s="8" t="s">
        <v>37</v>
      </c>
      <c r="P910" s="8">
        <v>1</v>
      </c>
    </row>
    <row r="911" spans="1:16" x14ac:dyDescent="0.15">
      <c r="A911" s="7" t="s">
        <v>1198</v>
      </c>
      <c r="B911" s="9" t="str">
        <f>VLOOKUP(D911,[1]TASMaps!$H$4:$K$269,3,FALSE)</f>
        <v>TQ08</v>
      </c>
      <c r="C911" s="9" t="str">
        <f>VLOOKUP(D911,[1]TASMaps!$H$4:$K$269,4,FALSE)</f>
        <v>Wellington</v>
      </c>
      <c r="D911" s="9">
        <v>5025</v>
      </c>
      <c r="E911" s="9" t="s">
        <v>84</v>
      </c>
      <c r="F911" s="9" t="s">
        <v>30</v>
      </c>
      <c r="G911" s="9" t="s">
        <v>19</v>
      </c>
      <c r="H911" s="8" t="s">
        <v>20</v>
      </c>
      <c r="I911" s="10">
        <v>510710</v>
      </c>
      <c r="J911" s="10">
        <v>5251800</v>
      </c>
      <c r="K911" s="11">
        <v>-42.886330000000001</v>
      </c>
      <c r="L911" s="11">
        <v>147.13115999999999</v>
      </c>
      <c r="M911" s="8" t="s">
        <v>21</v>
      </c>
      <c r="N911" s="8" t="s">
        <v>37</v>
      </c>
      <c r="O911" s="8">
        <v>2</v>
      </c>
      <c r="P911" s="8">
        <v>2</v>
      </c>
    </row>
    <row r="912" spans="1:16" x14ac:dyDescent="0.15">
      <c r="A912" s="7" t="s">
        <v>1199</v>
      </c>
      <c r="B912" s="9" t="str">
        <f>VLOOKUP(D912,[1]TASMaps!$H$4:$K$269,3,FALSE)</f>
        <v>TP06</v>
      </c>
      <c r="C912" s="9" t="str">
        <f>VLOOKUP(D912,[1]TASMaps!$H$4:$K$269,4,FALSE)</f>
        <v>Denison Range</v>
      </c>
      <c r="D912" s="9">
        <v>4228</v>
      </c>
      <c r="E912" s="9" t="s">
        <v>305</v>
      </c>
      <c r="F912" s="9" t="s">
        <v>116</v>
      </c>
      <c r="G912" s="9" t="s">
        <v>19</v>
      </c>
      <c r="H912" s="8" t="s">
        <v>20</v>
      </c>
      <c r="I912" s="10">
        <v>438770</v>
      </c>
      <c r="J912" s="10">
        <v>5288130</v>
      </c>
      <c r="K912" s="11">
        <v>-42.556800000000003</v>
      </c>
      <c r="L912" s="11">
        <v>146.25413</v>
      </c>
      <c r="N912" s="8" t="s">
        <v>37</v>
      </c>
      <c r="P912" s="8">
        <v>2</v>
      </c>
    </row>
    <row r="913" spans="1:16" x14ac:dyDescent="0.15">
      <c r="A913" s="9" t="s">
        <v>1200</v>
      </c>
      <c r="B913" s="9" t="str">
        <f>VLOOKUP(D913,[1]TASMaps!$H$4:$K$269,3,FALSE)</f>
        <v>TN06</v>
      </c>
      <c r="C913" s="9" t="str">
        <f>VLOOKUP(D913,[1]TASMaps!$H$4:$K$269,4,FALSE)</f>
        <v>King William</v>
      </c>
      <c r="D913" s="9">
        <v>4231</v>
      </c>
      <c r="E913" s="9" t="s">
        <v>361</v>
      </c>
      <c r="F913" s="9" t="s">
        <v>30</v>
      </c>
      <c r="G913" s="9" t="s">
        <v>36</v>
      </c>
      <c r="H913" s="8" t="s">
        <v>20</v>
      </c>
      <c r="I913" s="10">
        <v>429701</v>
      </c>
      <c r="J913" s="10">
        <v>5313870</v>
      </c>
      <c r="K913" s="11">
        <v>-42.324240000000003</v>
      </c>
      <c r="L913" s="11">
        <v>146.14681999999999</v>
      </c>
      <c r="N913" s="8" t="s">
        <v>37</v>
      </c>
      <c r="P913" s="8">
        <v>1</v>
      </c>
    </row>
    <row r="914" spans="1:16" x14ac:dyDescent="0.15">
      <c r="A914" s="7" t="s">
        <v>1201</v>
      </c>
      <c r="B914" s="9" t="str">
        <f>VLOOKUP(D914,[1]TASMaps!$H$4:$K$269,3,FALSE)</f>
        <v>TL07</v>
      </c>
      <c r="C914" s="9" t="str">
        <f>VLOOKUP(D914,[1]TASMaps!$H$4:$K$269,4,FALSE)</f>
        <v>Breton</v>
      </c>
      <c r="D914" s="9">
        <v>4836</v>
      </c>
      <c r="E914" s="9" t="s">
        <v>168</v>
      </c>
      <c r="F914" s="9" t="s">
        <v>30</v>
      </c>
      <c r="G914" s="9" t="s">
        <v>36</v>
      </c>
      <c r="H914" s="8" t="s">
        <v>20</v>
      </c>
      <c r="I914" s="10">
        <v>493170</v>
      </c>
      <c r="J914" s="10">
        <v>5366830</v>
      </c>
      <c r="K914" s="11">
        <v>-41.8504</v>
      </c>
      <c r="L914" s="11">
        <v>146.91772</v>
      </c>
      <c r="N914" s="8" t="s">
        <v>37</v>
      </c>
      <c r="P914" s="8">
        <v>1</v>
      </c>
    </row>
    <row r="915" spans="1:16" x14ac:dyDescent="0.15">
      <c r="A915" s="7" t="s">
        <v>1202</v>
      </c>
      <c r="B915" s="9" t="str">
        <f>VLOOKUP(D915,[1]TASMaps!$H$4:$K$269,3,FALSE)</f>
        <v>TL06</v>
      </c>
      <c r="C915" s="9" t="str">
        <f>VLOOKUP(D915,[1]TASMaps!$H$4:$K$269,4,FALSE)</f>
        <v>Jerusalem</v>
      </c>
      <c r="D915" s="9">
        <v>4437</v>
      </c>
      <c r="E915" s="9" t="s">
        <v>448</v>
      </c>
      <c r="F915" s="9" t="s">
        <v>30</v>
      </c>
      <c r="G915" s="9" t="s">
        <v>33</v>
      </c>
      <c r="H915" s="8" t="s">
        <v>20</v>
      </c>
      <c r="I915" s="10">
        <v>446140</v>
      </c>
      <c r="J915" s="10">
        <v>5376810</v>
      </c>
      <c r="K915" s="11">
        <v>-41.758710000000001</v>
      </c>
      <c r="L915" s="11">
        <v>146.35210000000001</v>
      </c>
      <c r="M915" s="8" t="s">
        <v>21</v>
      </c>
      <c r="N915" s="8" t="s">
        <v>37</v>
      </c>
      <c r="O915" s="8">
        <v>1</v>
      </c>
      <c r="P915" s="8">
        <v>1</v>
      </c>
    </row>
    <row r="916" spans="1:16" x14ac:dyDescent="0.15">
      <c r="A916" s="7" t="s">
        <v>1203</v>
      </c>
      <c r="B916" s="9" t="str">
        <f>VLOOKUP(D916,[1]TASMaps!$H$4:$K$269,3,FALSE)</f>
        <v>TL06</v>
      </c>
      <c r="C916" s="9" t="str">
        <f>VLOOKUP(D916,[1]TASMaps!$H$4:$K$269,4,FALSE)</f>
        <v>Jerusalem</v>
      </c>
      <c r="D916" s="9">
        <v>4437</v>
      </c>
      <c r="E916" s="9" t="s">
        <v>448</v>
      </c>
      <c r="F916" s="9" t="s">
        <v>23</v>
      </c>
      <c r="G916" s="9" t="s">
        <v>33</v>
      </c>
      <c r="H916" s="8" t="s">
        <v>20</v>
      </c>
      <c r="I916" s="10">
        <v>448860</v>
      </c>
      <c r="J916" s="10">
        <v>5376640</v>
      </c>
      <c r="K916" s="11">
        <v>-41.760429999999999</v>
      </c>
      <c r="L916" s="11">
        <v>146.38480000000001</v>
      </c>
      <c r="N916" s="8" t="s">
        <v>37</v>
      </c>
      <c r="P916" s="8">
        <v>2</v>
      </c>
    </row>
    <row r="917" spans="1:16" x14ac:dyDescent="0.15">
      <c r="A917" s="7" t="s">
        <v>1204</v>
      </c>
      <c r="B917" s="9" t="str">
        <f>VLOOKUP(D917,[1]TASMaps!$H$4:$K$269,3,FALSE)</f>
        <v>TQ06</v>
      </c>
      <c r="C917" s="9" t="str">
        <f>VLOOKUP(D917,[1]TASMaps!$H$4:$K$269,4,FALSE)</f>
        <v>Lake Pedder</v>
      </c>
      <c r="D917" s="9">
        <v>4226</v>
      </c>
      <c r="E917" s="9" t="s">
        <v>1205</v>
      </c>
      <c r="F917" s="9" t="s">
        <v>104</v>
      </c>
      <c r="G917" s="9" t="s">
        <v>19</v>
      </c>
      <c r="H917" s="8" t="s">
        <v>20</v>
      </c>
      <c r="I917" s="10">
        <v>424170</v>
      </c>
      <c r="J917" s="10">
        <v>5263480</v>
      </c>
      <c r="K917" s="11">
        <v>-42.777470000000001</v>
      </c>
      <c r="L917" s="11">
        <v>146.07301000000001</v>
      </c>
      <c r="N917" s="8" t="s">
        <v>37</v>
      </c>
      <c r="P917" s="8">
        <v>1</v>
      </c>
    </row>
    <row r="918" spans="1:16" x14ac:dyDescent="0.15">
      <c r="A918" s="7" t="s">
        <v>1206</v>
      </c>
      <c r="B918" s="9" t="str">
        <f>VLOOKUP(D918,[1]TASMaps!$H$4:$K$269,3,FALSE)</f>
        <v>TL06</v>
      </c>
      <c r="C918" s="9" t="str">
        <f>VLOOKUP(D918,[1]TASMaps!$H$4:$K$269,4,FALSE)</f>
        <v>Jerusalem</v>
      </c>
      <c r="D918" s="9">
        <v>4236</v>
      </c>
      <c r="E918" s="9" t="s">
        <v>177</v>
      </c>
      <c r="F918" s="9" t="s">
        <v>23</v>
      </c>
      <c r="G918" s="9" t="s">
        <v>33</v>
      </c>
      <c r="H918" s="8" t="s">
        <v>20</v>
      </c>
      <c r="I918" s="10">
        <v>426810</v>
      </c>
      <c r="J918" s="10">
        <v>5363090</v>
      </c>
      <c r="K918" s="11">
        <v>-41.88073</v>
      </c>
      <c r="L918" s="11">
        <v>146.11789999999999</v>
      </c>
      <c r="M918" s="8" t="s">
        <v>21</v>
      </c>
      <c r="N918" s="8">
        <v>2</v>
      </c>
      <c r="O918" s="8">
        <v>2</v>
      </c>
      <c r="P918" s="8">
        <v>2</v>
      </c>
    </row>
    <row r="919" spans="1:16" x14ac:dyDescent="0.15">
      <c r="A919" s="7" t="s">
        <v>1207</v>
      </c>
      <c r="B919" s="9" t="str">
        <f>VLOOKUP(D919,[1]TASMaps!$H$4:$K$269,3,FALSE)</f>
        <v>TL06</v>
      </c>
      <c r="C919" s="9" t="str">
        <f>VLOOKUP(D919,[1]TASMaps!$H$4:$K$269,4,FALSE)</f>
        <v>Jerusalem</v>
      </c>
      <c r="D919" s="9">
        <v>4236</v>
      </c>
      <c r="E919" s="9" t="s">
        <v>177</v>
      </c>
      <c r="F919" s="9" t="s">
        <v>23</v>
      </c>
      <c r="G919" s="9" t="s">
        <v>33</v>
      </c>
      <c r="H919" s="8" t="s">
        <v>20</v>
      </c>
      <c r="I919" s="10">
        <v>426740</v>
      </c>
      <c r="J919" s="10">
        <v>5362890</v>
      </c>
      <c r="K919" s="11">
        <v>-41.88252</v>
      </c>
      <c r="L919" s="11">
        <v>146.11703</v>
      </c>
      <c r="N919" s="8" t="s">
        <v>37</v>
      </c>
      <c r="P919" s="8">
        <v>1</v>
      </c>
    </row>
    <row r="920" spans="1:16" x14ac:dyDescent="0.15">
      <c r="A920" s="9" t="s">
        <v>1208</v>
      </c>
      <c r="B920" s="9" t="str">
        <f>VLOOKUP(D920,[1]TASMaps!$H$4:$K$269,3,FALSE)</f>
        <v>TK05</v>
      </c>
      <c r="C920" s="9" t="str">
        <f>VLOOKUP(D920,[1]TASMaps!$H$4:$K$269,4,FALSE)</f>
        <v>Black Bluff</v>
      </c>
      <c r="D920" s="9">
        <v>4041</v>
      </c>
      <c r="E920" s="9" t="s">
        <v>180</v>
      </c>
      <c r="F920" s="9" t="s">
        <v>227</v>
      </c>
      <c r="G920" s="9" t="s">
        <v>117</v>
      </c>
      <c r="H920" s="8" t="s">
        <v>20</v>
      </c>
      <c r="I920" s="10">
        <v>400400</v>
      </c>
      <c r="J920" s="10">
        <v>5414620</v>
      </c>
      <c r="K920" s="11">
        <v>-41.413800000000002</v>
      </c>
      <c r="L920" s="11">
        <v>145.80824000000001</v>
      </c>
      <c r="N920" s="8" t="s">
        <v>37</v>
      </c>
      <c r="P920" s="8">
        <v>1</v>
      </c>
    </row>
    <row r="921" spans="1:16" x14ac:dyDescent="0.15">
      <c r="A921" s="7" t="s">
        <v>1209</v>
      </c>
      <c r="B921" s="9" t="str">
        <f>VLOOKUP(D921,[1]TASMaps!$H$4:$K$269,3,FALSE)</f>
        <v>TP07</v>
      </c>
      <c r="C921" s="9" t="str">
        <f>VLOOKUP(D921,[1]TASMaps!$H$4:$K$269,4,FALSE)</f>
        <v>Meadowbank</v>
      </c>
      <c r="D921" s="9">
        <v>4627</v>
      </c>
      <c r="E921" s="9" t="s">
        <v>233</v>
      </c>
      <c r="F921" s="9" t="s">
        <v>23</v>
      </c>
      <c r="G921" s="9" t="s">
        <v>19</v>
      </c>
      <c r="H921" s="8" t="s">
        <v>20</v>
      </c>
      <c r="I921" s="10">
        <v>463255</v>
      </c>
      <c r="J921" s="10">
        <v>5272190</v>
      </c>
      <c r="K921" s="11">
        <v>-42.701900000000002</v>
      </c>
      <c r="L921" s="11">
        <v>146.55135000000001</v>
      </c>
      <c r="N921" s="8">
        <v>2</v>
      </c>
      <c r="O921" s="8">
        <v>2</v>
      </c>
      <c r="P921" s="8">
        <v>2</v>
      </c>
    </row>
    <row r="922" spans="1:16" x14ac:dyDescent="0.15">
      <c r="A922" s="7" t="s">
        <v>1210</v>
      </c>
      <c r="B922" s="9" t="str">
        <f>VLOOKUP(D922,[1]TASMaps!$H$4:$K$269,3,FALSE)</f>
        <v>TS07</v>
      </c>
      <c r="C922" s="9" t="str">
        <f>VLOOKUP(D922,[1]TASMaps!$H$4:$K$269,4,FALSE)</f>
        <v>Adamsons</v>
      </c>
      <c r="D922" s="9">
        <v>4819</v>
      </c>
      <c r="E922" s="9" t="s">
        <v>1211</v>
      </c>
      <c r="F922" s="9" t="s">
        <v>18</v>
      </c>
      <c r="G922" s="9" t="s">
        <v>27</v>
      </c>
      <c r="H922" s="8" t="s">
        <v>20</v>
      </c>
      <c r="I922" s="10">
        <v>499500</v>
      </c>
      <c r="J922" s="10">
        <v>5197310</v>
      </c>
      <c r="K922" s="11">
        <v>-43.377079999999999</v>
      </c>
      <c r="L922" s="11">
        <v>146.99383</v>
      </c>
      <c r="N922" s="8" t="s">
        <v>37</v>
      </c>
      <c r="P922" s="8">
        <v>1</v>
      </c>
    </row>
    <row r="923" spans="1:16" x14ac:dyDescent="0.15">
      <c r="A923" s="7" t="s">
        <v>1212</v>
      </c>
      <c r="B923" s="9" t="str">
        <f>VLOOKUP(D923,[1]TASMaps!$H$4:$K$269,3,FALSE)</f>
        <v>TM05</v>
      </c>
      <c r="C923" s="9" t="str">
        <f>VLOOKUP(D923,[1]TASMaps!$H$4:$K$269,4,FALSE)</f>
        <v>Eldon</v>
      </c>
      <c r="D923" s="9">
        <v>3835</v>
      </c>
      <c r="E923" s="9" t="s">
        <v>126</v>
      </c>
      <c r="F923" s="9" t="s">
        <v>30</v>
      </c>
      <c r="G923" s="9" t="s">
        <v>24</v>
      </c>
      <c r="H923" s="8" t="s">
        <v>20</v>
      </c>
      <c r="I923" s="10">
        <v>383200</v>
      </c>
      <c r="J923" s="10">
        <v>5356650</v>
      </c>
      <c r="K923" s="11">
        <v>-41.93347</v>
      </c>
      <c r="L923" s="11">
        <v>145.59115</v>
      </c>
      <c r="M923" s="8" t="s">
        <v>21</v>
      </c>
      <c r="N923" s="8">
        <v>2</v>
      </c>
      <c r="O923" s="8">
        <v>2</v>
      </c>
      <c r="P923" s="8">
        <v>2</v>
      </c>
    </row>
    <row r="924" spans="1:16" x14ac:dyDescent="0.15">
      <c r="A924" s="7" t="s">
        <v>1213</v>
      </c>
      <c r="B924" s="9" t="str">
        <f>VLOOKUP(D924,[1]TASMaps!$H$4:$K$269,3,FALSE)</f>
        <v>TK06</v>
      </c>
      <c r="C924" s="9" t="str">
        <f>VLOOKUP(D924,[1]TASMaps!$H$4:$K$269,4,FALSE)</f>
        <v>Fossey Mountains</v>
      </c>
      <c r="D924" s="9">
        <v>4240</v>
      </c>
      <c r="E924" s="9" t="s">
        <v>141</v>
      </c>
      <c r="F924" s="9" t="s">
        <v>30</v>
      </c>
      <c r="G924" s="9" t="s">
        <v>142</v>
      </c>
      <c r="H924" s="8" t="s">
        <v>20</v>
      </c>
      <c r="I924" s="10">
        <v>438190</v>
      </c>
      <c r="J924" s="10">
        <v>5406540</v>
      </c>
      <c r="K924" s="11">
        <v>-41.490369999999999</v>
      </c>
      <c r="L924" s="11">
        <v>146.25953999999999</v>
      </c>
      <c r="N924" s="8" t="s">
        <v>37</v>
      </c>
      <c r="O924" s="8">
        <v>1</v>
      </c>
      <c r="P924" s="8">
        <v>1</v>
      </c>
    </row>
    <row r="925" spans="1:16" x14ac:dyDescent="0.15">
      <c r="A925" s="7" t="s">
        <v>1214</v>
      </c>
      <c r="B925" s="9" t="str">
        <f>VLOOKUP(D925,[1]TASMaps!$H$4:$K$269,3,FALSE)</f>
        <v>TK03</v>
      </c>
      <c r="C925" s="9" t="str">
        <f>VLOOKUP(D925,[1]TASMaps!$H$4:$K$269,4,FALSE)</f>
        <v>Norfolk Range</v>
      </c>
      <c r="D925" s="9">
        <v>3240</v>
      </c>
      <c r="E925" s="9" t="s">
        <v>477</v>
      </c>
      <c r="F925" s="9" t="s">
        <v>30</v>
      </c>
      <c r="G925" s="9" t="s">
        <v>107</v>
      </c>
      <c r="H925" s="8" t="s">
        <v>20</v>
      </c>
      <c r="I925" s="10">
        <v>337080</v>
      </c>
      <c r="J925" s="10">
        <v>5407770</v>
      </c>
      <c r="K925" s="11">
        <v>-41.465119999999999</v>
      </c>
      <c r="L925" s="11">
        <v>145.04909000000001</v>
      </c>
      <c r="N925" s="8" t="s">
        <v>37</v>
      </c>
      <c r="O925" s="8">
        <v>1</v>
      </c>
      <c r="P925" s="8">
        <v>1</v>
      </c>
    </row>
    <row r="926" spans="1:16" x14ac:dyDescent="0.15">
      <c r="A926" s="7" t="s">
        <v>1215</v>
      </c>
      <c r="B926" s="9" t="str">
        <f>VLOOKUP(D926,[1]TASMaps!$H$4:$K$269,3,FALSE)</f>
        <v>TL06</v>
      </c>
      <c r="C926" s="9" t="str">
        <f>VLOOKUP(D926,[1]TASMaps!$H$4:$K$269,4,FALSE)</f>
        <v>Jerusalem</v>
      </c>
      <c r="D926" s="9">
        <v>4236</v>
      </c>
      <c r="E926" s="9" t="s">
        <v>177</v>
      </c>
      <c r="F926" s="9" t="s">
        <v>30</v>
      </c>
      <c r="G926" s="9" t="s">
        <v>33</v>
      </c>
      <c r="H926" s="8" t="s">
        <v>20</v>
      </c>
      <c r="I926" s="10">
        <v>428140</v>
      </c>
      <c r="J926" s="10">
        <v>5366160</v>
      </c>
      <c r="K926" s="11">
        <v>-41.853200000000001</v>
      </c>
      <c r="L926" s="11">
        <v>146.1343</v>
      </c>
      <c r="N926" s="8" t="s">
        <v>37</v>
      </c>
      <c r="P926" s="8">
        <v>1</v>
      </c>
    </row>
    <row r="927" spans="1:16" x14ac:dyDescent="0.15">
      <c r="A927" s="7" t="s">
        <v>1216</v>
      </c>
      <c r="B927" s="9" t="str">
        <f>VLOOKUP(D927,[1]TASMaps!$H$4:$K$269,3,FALSE)</f>
        <v>TS07</v>
      </c>
      <c r="C927" s="9" t="str">
        <f>VLOOKUP(D927,[1]TASMaps!$H$4:$K$269,4,FALSE)</f>
        <v>Adamsons</v>
      </c>
      <c r="D927" s="9">
        <v>4618</v>
      </c>
      <c r="E927" s="9" t="s">
        <v>343</v>
      </c>
      <c r="F927" s="9" t="s">
        <v>30</v>
      </c>
      <c r="G927" s="9" t="s">
        <v>27</v>
      </c>
      <c r="H927" s="8" t="s">
        <v>20</v>
      </c>
      <c r="I927" s="10">
        <v>472520</v>
      </c>
      <c r="J927" s="10">
        <v>5188150</v>
      </c>
      <c r="K927" s="11">
        <v>-43.459049999999998</v>
      </c>
      <c r="L927" s="11">
        <v>146.66032000000001</v>
      </c>
      <c r="M927" s="8" t="s">
        <v>21</v>
      </c>
      <c r="N927" s="8">
        <v>4</v>
      </c>
      <c r="O927" s="8">
        <v>4</v>
      </c>
      <c r="P927" s="8">
        <v>4</v>
      </c>
    </row>
    <row r="928" spans="1:16" x14ac:dyDescent="0.15">
      <c r="A928" s="7" t="s">
        <v>1217</v>
      </c>
      <c r="B928" s="9" t="str">
        <f>VLOOKUP(D928,[1]TASMaps!$H$4:$K$269,3,FALSE)</f>
        <v>TL05</v>
      </c>
      <c r="C928" s="9" t="str">
        <f>VLOOKUP(D928,[1]TASMaps!$H$4:$K$269,4,FALSE)</f>
        <v>Murchison</v>
      </c>
      <c r="D928" s="9">
        <v>3837</v>
      </c>
      <c r="E928" s="9" t="s">
        <v>194</v>
      </c>
      <c r="F928" s="9" t="s">
        <v>23</v>
      </c>
      <c r="G928" s="9" t="s">
        <v>24</v>
      </c>
      <c r="H928" s="8" t="s">
        <v>20</v>
      </c>
      <c r="I928" s="10">
        <v>390360</v>
      </c>
      <c r="J928" s="10">
        <v>5372020</v>
      </c>
      <c r="K928" s="11">
        <v>-41.796100000000003</v>
      </c>
      <c r="L928" s="11">
        <v>145.68034</v>
      </c>
      <c r="N928" s="8" t="s">
        <v>37</v>
      </c>
      <c r="O928" s="8">
        <v>1</v>
      </c>
      <c r="P928" s="8">
        <v>1</v>
      </c>
    </row>
    <row r="929" spans="1:16" x14ac:dyDescent="0.15">
      <c r="A929" s="7" t="s">
        <v>1218</v>
      </c>
      <c r="B929" s="9" t="str">
        <f>VLOOKUP(D929,[1]TASMaps!$H$4:$K$269,3,FALSE)</f>
        <v>TJ09</v>
      </c>
      <c r="C929" s="9" t="str">
        <f>VLOOKUP(D929,[1]TASMaps!$H$4:$K$269,4,FALSE)</f>
        <v>Legerwood</v>
      </c>
      <c r="D929" s="9">
        <v>5642</v>
      </c>
      <c r="E929" s="9" t="s">
        <v>43</v>
      </c>
      <c r="F929" s="9" t="s">
        <v>30</v>
      </c>
      <c r="G929" s="9" t="s">
        <v>210</v>
      </c>
      <c r="H929" s="8" t="s">
        <v>20</v>
      </c>
      <c r="I929" s="10">
        <v>570340</v>
      </c>
      <c r="J929" s="10">
        <v>5423935</v>
      </c>
      <c r="K929" s="11">
        <v>-41.332999999999998</v>
      </c>
      <c r="L929" s="11">
        <v>147.84061</v>
      </c>
      <c r="M929" s="8" t="s">
        <v>21</v>
      </c>
      <c r="N929" s="8">
        <v>2</v>
      </c>
      <c r="O929" s="8">
        <v>2</v>
      </c>
      <c r="P929" s="8">
        <v>2</v>
      </c>
    </row>
    <row r="930" spans="1:16" x14ac:dyDescent="0.15">
      <c r="A930" s="7" t="s">
        <v>1219</v>
      </c>
      <c r="B930" s="9" t="str">
        <f>VLOOKUP(D930,[1]TASMaps!$H$4:$K$269,3,FALSE)</f>
        <v>TQ09</v>
      </c>
      <c r="C930" s="9" t="str">
        <f>VLOOKUP(D930,[1]TASMaps!$H$4:$K$269,4,FALSE)</f>
        <v>Frederick Henry</v>
      </c>
      <c r="D930" s="9">
        <v>5624</v>
      </c>
      <c r="E930" s="9" t="s">
        <v>525</v>
      </c>
      <c r="F930" s="9" t="s">
        <v>23</v>
      </c>
      <c r="G930" s="9" t="s">
        <v>83</v>
      </c>
      <c r="H930" s="8" t="s">
        <v>20</v>
      </c>
      <c r="I930" s="10">
        <v>579230</v>
      </c>
      <c r="J930" s="10">
        <v>5243640</v>
      </c>
      <c r="K930" s="11">
        <v>-42.955759999999998</v>
      </c>
      <c r="L930" s="11">
        <v>147.97135</v>
      </c>
      <c r="N930" s="8" t="s">
        <v>37</v>
      </c>
      <c r="P930" s="8">
        <v>1</v>
      </c>
    </row>
    <row r="931" spans="1:16" x14ac:dyDescent="0.15">
      <c r="A931" s="7" t="s">
        <v>1220</v>
      </c>
      <c r="B931" s="9" t="str">
        <f>VLOOKUP(D931,[1]TASMaps!$H$4:$K$269,3,FALSE)</f>
        <v>TN08</v>
      </c>
      <c r="C931" s="9" t="str">
        <f>VLOOKUP(D931,[1]TASMaps!$H$4:$K$269,4,FALSE)</f>
        <v>Tiberias</v>
      </c>
      <c r="D931" s="9">
        <v>5232</v>
      </c>
      <c r="E931" s="9" t="s">
        <v>1130</v>
      </c>
      <c r="F931" s="9" t="s">
        <v>18</v>
      </c>
      <c r="G931" s="9" t="s">
        <v>59</v>
      </c>
      <c r="H931" s="8" t="s">
        <v>20</v>
      </c>
      <c r="I931" s="10">
        <v>534700</v>
      </c>
      <c r="J931" s="10">
        <v>5322790</v>
      </c>
      <c r="K931" s="11">
        <v>-42.246310000000001</v>
      </c>
      <c r="L931" s="11">
        <v>147.42062000000001</v>
      </c>
      <c r="N931" s="8" t="s">
        <v>37</v>
      </c>
      <c r="P931" s="8">
        <v>1</v>
      </c>
    </row>
    <row r="932" spans="1:16" x14ac:dyDescent="0.15">
      <c r="A932" s="7" t="s">
        <v>1221</v>
      </c>
      <c r="B932" s="9" t="str">
        <f>VLOOKUP(D932,[1]TASMaps!$H$4:$K$269,3,FALSE)</f>
        <v>TM05</v>
      </c>
      <c r="C932" s="9" t="str">
        <f>VLOOKUP(D932,[1]TASMaps!$H$4:$K$269,4,FALSE)</f>
        <v>Eldon</v>
      </c>
      <c r="D932" s="9">
        <v>3835</v>
      </c>
      <c r="E932" s="9" t="s">
        <v>126</v>
      </c>
      <c r="F932" s="9" t="s">
        <v>23</v>
      </c>
      <c r="G932" s="9" t="s">
        <v>24</v>
      </c>
      <c r="H932" s="8" t="s">
        <v>20</v>
      </c>
      <c r="I932" s="10">
        <v>386580</v>
      </c>
      <c r="J932" s="10">
        <v>5356210</v>
      </c>
      <c r="K932" s="11">
        <v>-41.937930000000001</v>
      </c>
      <c r="L932" s="11">
        <v>145.63183000000001</v>
      </c>
      <c r="N932" s="8" t="s">
        <v>37</v>
      </c>
      <c r="O932" s="8">
        <v>1</v>
      </c>
      <c r="P932" s="8">
        <v>1</v>
      </c>
    </row>
    <row r="933" spans="1:16" x14ac:dyDescent="0.15">
      <c r="A933" s="7" t="s">
        <v>1222</v>
      </c>
      <c r="B933" s="9" t="str">
        <f>VLOOKUP(D933,[1]TASMaps!$H$4:$K$269,3,FALSE)</f>
        <v>TM05</v>
      </c>
      <c r="C933" s="9" t="str">
        <f>VLOOKUP(D933,[1]TASMaps!$H$4:$K$269,4,FALSE)</f>
        <v>Eldon</v>
      </c>
      <c r="D933" s="9">
        <v>4035</v>
      </c>
      <c r="E933" s="9" t="s">
        <v>291</v>
      </c>
      <c r="F933" s="9" t="s">
        <v>30</v>
      </c>
      <c r="G933" s="9" t="s">
        <v>24</v>
      </c>
      <c r="H933" s="8" t="s">
        <v>20</v>
      </c>
      <c r="I933" s="10">
        <v>418740</v>
      </c>
      <c r="J933" s="10">
        <v>5356460</v>
      </c>
      <c r="K933" s="11">
        <v>-41.93965</v>
      </c>
      <c r="L933" s="11">
        <v>146.01974000000001</v>
      </c>
      <c r="M933" s="8" t="s">
        <v>21</v>
      </c>
      <c r="N933" s="8">
        <v>2</v>
      </c>
      <c r="O933" s="8">
        <v>2</v>
      </c>
      <c r="P933" s="8">
        <v>4</v>
      </c>
    </row>
    <row r="934" spans="1:16" x14ac:dyDescent="0.15">
      <c r="A934" s="7" t="s">
        <v>1223</v>
      </c>
      <c r="B934" s="9" t="str">
        <f>VLOOKUP(D934,[1]TASMaps!$H$4:$K$269,3,FALSE)</f>
        <v>TQ09</v>
      </c>
      <c r="C934" s="9" t="str">
        <f>VLOOKUP(D934,[1]TASMaps!$H$4:$K$269,4,FALSE)</f>
        <v>Frederick Henry</v>
      </c>
      <c r="D934" s="9">
        <v>5626</v>
      </c>
      <c r="E934" s="9" t="s">
        <v>676</v>
      </c>
      <c r="F934" s="9" t="s">
        <v>30</v>
      </c>
      <c r="G934" s="9" t="s">
        <v>677</v>
      </c>
      <c r="H934" s="8" t="s">
        <v>20</v>
      </c>
      <c r="I934" s="10">
        <v>570860</v>
      </c>
      <c r="J934" s="10">
        <v>5268980</v>
      </c>
      <c r="K934" s="11">
        <v>-42.72842</v>
      </c>
      <c r="L934" s="11">
        <v>147.86555000000001</v>
      </c>
      <c r="N934" s="8" t="s">
        <v>37</v>
      </c>
      <c r="P934" s="8">
        <v>1</v>
      </c>
    </row>
    <row r="935" spans="1:16" x14ac:dyDescent="0.15">
      <c r="A935" s="7" t="s">
        <v>1224</v>
      </c>
      <c r="B935" s="9" t="str">
        <f>VLOOKUP(D935,[1]TASMaps!$H$4:$K$269,3,FALSE)</f>
        <v>TN05</v>
      </c>
      <c r="C935" s="9" t="str">
        <f>VLOOKUP(D935,[1]TASMaps!$H$4:$K$269,4,FALSE)</f>
        <v>Frenchmans</v>
      </c>
      <c r="D935" s="9">
        <v>4032</v>
      </c>
      <c r="E935" s="9" t="s">
        <v>56</v>
      </c>
      <c r="F935" s="9" t="s">
        <v>30</v>
      </c>
      <c r="G935" s="9" t="s">
        <v>24</v>
      </c>
      <c r="H935" s="8" t="s">
        <v>20</v>
      </c>
      <c r="I935" s="10">
        <v>407170</v>
      </c>
      <c r="J935" s="10">
        <v>5328020</v>
      </c>
      <c r="K935" s="11">
        <v>-42.194470000000003</v>
      </c>
      <c r="L935" s="11">
        <v>145.87567999999999</v>
      </c>
      <c r="N935" s="8" t="s">
        <v>37</v>
      </c>
      <c r="O935" s="8">
        <v>2</v>
      </c>
      <c r="P935" s="8">
        <v>2</v>
      </c>
    </row>
    <row r="936" spans="1:16" x14ac:dyDescent="0.15">
      <c r="A936" s="7" t="s">
        <v>1225</v>
      </c>
      <c r="B936" s="9" t="str">
        <f>VLOOKUP(D936,[1]TASMaps!$H$4:$K$269,3,FALSE)</f>
        <v>TL07</v>
      </c>
      <c r="C936" s="9" t="str">
        <f>VLOOKUP(D936,[1]TASMaps!$H$4:$K$269,4,FALSE)</f>
        <v>Breton</v>
      </c>
      <c r="D936" s="9">
        <v>4638</v>
      </c>
      <c r="E936" s="9" t="s">
        <v>73</v>
      </c>
      <c r="F936" s="9" t="s">
        <v>18</v>
      </c>
      <c r="G936" s="9" t="s">
        <v>33</v>
      </c>
      <c r="H936" s="8" t="s">
        <v>20</v>
      </c>
      <c r="I936" s="10">
        <v>470750</v>
      </c>
      <c r="J936" s="10">
        <v>5385510</v>
      </c>
      <c r="K936" s="11">
        <v>-41.681640000000002</v>
      </c>
      <c r="L936" s="11">
        <v>146.64856</v>
      </c>
      <c r="N936" s="8" t="s">
        <v>37</v>
      </c>
      <c r="P936" s="8">
        <v>1</v>
      </c>
    </row>
    <row r="937" spans="1:16" x14ac:dyDescent="0.15">
      <c r="A937" s="7" t="s">
        <v>1226</v>
      </c>
      <c r="B937" s="9" t="str">
        <f>VLOOKUP(D937,[1]TASMaps!$H$4:$K$269,3,FALSE)</f>
        <v>TQ07</v>
      </c>
      <c r="C937" s="9" t="str">
        <f>VLOOKUP(D937,[1]TASMaps!$H$4:$K$269,4,FALSE)</f>
        <v>Snowy Range</v>
      </c>
      <c r="D937" s="9">
        <v>4624</v>
      </c>
      <c r="E937" s="9" t="s">
        <v>568</v>
      </c>
      <c r="F937" s="9" t="s">
        <v>18</v>
      </c>
      <c r="G937" s="9" t="s">
        <v>19</v>
      </c>
      <c r="H937" s="8" t="s">
        <v>20</v>
      </c>
      <c r="I937" s="10">
        <v>470040</v>
      </c>
      <c r="J937" s="10">
        <v>5249140</v>
      </c>
      <c r="K937" s="11">
        <v>-42.909770000000002</v>
      </c>
      <c r="L937" s="11">
        <v>146.63297</v>
      </c>
      <c r="N937" s="8" t="s">
        <v>37</v>
      </c>
      <c r="P937" s="8">
        <v>1</v>
      </c>
    </row>
    <row r="938" spans="1:16" x14ac:dyDescent="0.15">
      <c r="A938" s="7" t="s">
        <v>1227</v>
      </c>
      <c r="B938" s="9" t="str">
        <f>VLOOKUP(D938,[1]TASMaps!$H$4:$K$269,3,FALSE)</f>
        <v>TP07</v>
      </c>
      <c r="C938" s="9" t="str">
        <f>VLOOKUP(D938,[1]TASMaps!$H$4:$K$269,4,FALSE)</f>
        <v>Meadowbank</v>
      </c>
      <c r="D938" s="9">
        <v>4627</v>
      </c>
      <c r="E938" s="9" t="s">
        <v>233</v>
      </c>
      <c r="F938" s="9" t="s">
        <v>30</v>
      </c>
      <c r="G938" s="9" t="s">
        <v>19</v>
      </c>
      <c r="H938" s="8" t="s">
        <v>20</v>
      </c>
      <c r="I938" s="10">
        <v>462440</v>
      </c>
      <c r="J938" s="10">
        <v>5277140</v>
      </c>
      <c r="K938" s="11">
        <v>-42.657290000000003</v>
      </c>
      <c r="L938" s="11">
        <v>146.54173</v>
      </c>
      <c r="N938" s="8" t="s">
        <v>37</v>
      </c>
      <c r="P938" s="8">
        <v>2</v>
      </c>
    </row>
    <row r="939" spans="1:16" x14ac:dyDescent="0.15">
      <c r="A939" s="9" t="s">
        <v>1228</v>
      </c>
      <c r="B939" s="9" t="str">
        <f>VLOOKUP(D939,[1]TASMaps!$H$4:$K$269,3,FALSE)</f>
        <v>TS06</v>
      </c>
      <c r="C939" s="9" t="str">
        <f>VLOOKUP(D939,[1]TASMaps!$H$4:$K$269,4,FALSE)</f>
        <v>Bathurst</v>
      </c>
      <c r="D939" s="9">
        <v>4420</v>
      </c>
      <c r="E939" s="9" t="s">
        <v>293</v>
      </c>
      <c r="F939" s="9" t="s">
        <v>18</v>
      </c>
      <c r="G939" s="9" t="s">
        <v>27</v>
      </c>
      <c r="H939" s="8" t="s">
        <v>20</v>
      </c>
      <c r="I939" s="10">
        <v>453080</v>
      </c>
      <c r="J939" s="10">
        <v>5201320</v>
      </c>
      <c r="K939" s="11">
        <v>-43.339500000000001</v>
      </c>
      <c r="L939" s="11">
        <v>146.42115999999999</v>
      </c>
      <c r="N939" s="8" t="s">
        <v>37</v>
      </c>
      <c r="P939" s="8">
        <v>1</v>
      </c>
    </row>
    <row r="940" spans="1:16" x14ac:dyDescent="0.15">
      <c r="A940" s="7" t="s">
        <v>1229</v>
      </c>
      <c r="B940" s="9" t="str">
        <f>VLOOKUP(D940,[1]TASMaps!$H$4:$K$269,3,FALSE)</f>
        <v>TQ06</v>
      </c>
      <c r="C940" s="9" t="str">
        <f>VLOOKUP(D940,[1]TASMaps!$H$4:$K$269,4,FALSE)</f>
        <v>Lake Pedder</v>
      </c>
      <c r="D940" s="9">
        <v>4425</v>
      </c>
      <c r="E940" s="9" t="s">
        <v>224</v>
      </c>
      <c r="F940" s="9" t="s">
        <v>30</v>
      </c>
      <c r="G940" s="9" t="s">
        <v>19</v>
      </c>
      <c r="H940" s="8" t="s">
        <v>20</v>
      </c>
      <c r="I940" s="10">
        <v>442560</v>
      </c>
      <c r="J940" s="10">
        <v>5256120</v>
      </c>
      <c r="K940" s="11">
        <v>-42.84534</v>
      </c>
      <c r="L940" s="11">
        <v>146.29705000000001</v>
      </c>
      <c r="M940" s="8" t="s">
        <v>21</v>
      </c>
      <c r="N940" s="8">
        <v>2</v>
      </c>
      <c r="O940" s="8">
        <v>2</v>
      </c>
      <c r="P940" s="8">
        <v>2</v>
      </c>
    </row>
    <row r="941" spans="1:16" x14ac:dyDescent="0.15">
      <c r="A941" s="9" t="s">
        <v>1230</v>
      </c>
      <c r="B941" s="9" t="str">
        <f>VLOOKUP(D941,[1]TASMaps!$H$4:$K$269,3,FALSE)</f>
        <v>TH10</v>
      </c>
      <c r="C941" s="9" t="str">
        <f>VLOOKUP(D941,[1]TASMaps!$H$4:$K$269,4,FALSE)</f>
        <v>Mount William</v>
      </c>
      <c r="D941" s="9">
        <v>5846</v>
      </c>
      <c r="E941" s="9" t="s">
        <v>632</v>
      </c>
      <c r="F941" s="9" t="s">
        <v>23</v>
      </c>
      <c r="G941" s="9" t="s">
        <v>210</v>
      </c>
      <c r="H941" s="8" t="s">
        <v>20</v>
      </c>
      <c r="I941" s="10">
        <v>580140</v>
      </c>
      <c r="J941" s="10">
        <v>5463610</v>
      </c>
      <c r="K941" s="11">
        <v>-40.974739999999997</v>
      </c>
      <c r="L941" s="11">
        <v>147.95253</v>
      </c>
      <c r="N941" s="8" t="s">
        <v>37</v>
      </c>
      <c r="P941" s="8">
        <v>1</v>
      </c>
    </row>
    <row r="942" spans="1:16" x14ac:dyDescent="0.15">
      <c r="A942" s="9" t="s">
        <v>1231</v>
      </c>
      <c r="B942" s="9" t="str">
        <f>VLOOKUP(D942,[1]TASMaps!$H$4:$K$269,3,FALSE)</f>
        <v>TL05</v>
      </c>
      <c r="C942" s="9" t="str">
        <f>VLOOKUP(D942,[1]TASMaps!$H$4:$K$269,4,FALSE)</f>
        <v>Murchison</v>
      </c>
      <c r="D942" s="9">
        <v>4038</v>
      </c>
      <c r="E942" s="9" t="s">
        <v>90</v>
      </c>
      <c r="F942" s="9" t="s">
        <v>30</v>
      </c>
      <c r="G942" s="9" t="s">
        <v>33</v>
      </c>
      <c r="H942" s="8" t="s">
        <v>20</v>
      </c>
      <c r="I942" s="10">
        <v>413150</v>
      </c>
      <c r="J942" s="10">
        <v>5385460</v>
      </c>
      <c r="K942" s="11">
        <v>-41.677889999999998</v>
      </c>
      <c r="L942" s="11">
        <v>145.95656</v>
      </c>
      <c r="N942" s="8" t="s">
        <v>37</v>
      </c>
      <c r="P942" s="8">
        <v>2</v>
      </c>
    </row>
    <row r="943" spans="1:16" x14ac:dyDescent="0.15">
      <c r="A943" s="7" t="s">
        <v>1232</v>
      </c>
      <c r="B943" s="9" t="str">
        <f>VLOOKUP(D943,[1]TASMaps!$H$4:$K$269,3,FALSE)</f>
        <v>TR07</v>
      </c>
      <c r="C943" s="9" t="str">
        <f>VLOOKUP(D943,[1]TASMaps!$H$4:$K$269,4,FALSE)</f>
        <v>Hartz</v>
      </c>
      <c r="D943" s="9">
        <v>4623</v>
      </c>
      <c r="E943" s="9" t="s">
        <v>540</v>
      </c>
      <c r="F943" s="9" t="s">
        <v>116</v>
      </c>
      <c r="G943" s="9" t="s">
        <v>27</v>
      </c>
      <c r="H943" s="8" t="s">
        <v>20</v>
      </c>
      <c r="I943" s="10">
        <v>467250</v>
      </c>
      <c r="J943" s="10">
        <v>5236080</v>
      </c>
      <c r="K943" s="11">
        <v>-43.027259999999998</v>
      </c>
      <c r="L943" s="11">
        <v>146.59801999999999</v>
      </c>
      <c r="N943" s="8" t="s">
        <v>37</v>
      </c>
      <c r="P943" s="8">
        <v>2</v>
      </c>
    </row>
    <row r="944" spans="1:16" x14ac:dyDescent="0.15">
      <c r="A944" s="7" t="s">
        <v>1233</v>
      </c>
      <c r="B944" s="9" t="str">
        <f>VLOOKUP(D944,[1]TASMaps!$H$4:$K$269,3,FALSE)</f>
        <v>TR07</v>
      </c>
      <c r="C944" s="9" t="str">
        <f>VLOOKUP(D944,[1]TASMaps!$H$4:$K$269,4,FALSE)</f>
        <v>Hartz</v>
      </c>
      <c r="D944" s="9">
        <v>4623</v>
      </c>
      <c r="E944" s="9" t="s">
        <v>540</v>
      </c>
      <c r="F944" s="9" t="s">
        <v>30</v>
      </c>
      <c r="G944" s="9" t="s">
        <v>27</v>
      </c>
      <c r="H944" s="8" t="s">
        <v>20</v>
      </c>
      <c r="I944" s="10">
        <v>465555</v>
      </c>
      <c r="J944" s="10">
        <v>5238620</v>
      </c>
      <c r="K944" s="11">
        <v>-43.004309999999997</v>
      </c>
      <c r="L944" s="11">
        <v>146.57738000000001</v>
      </c>
      <c r="M944" s="8" t="s">
        <v>21</v>
      </c>
      <c r="N944" s="8">
        <v>4</v>
      </c>
      <c r="O944" s="8">
        <v>4</v>
      </c>
      <c r="P944" s="8">
        <v>4</v>
      </c>
    </row>
    <row r="945" spans="1:16" x14ac:dyDescent="0.15">
      <c r="A945" s="7" t="s">
        <v>1234</v>
      </c>
      <c r="B945" s="9" t="str">
        <f>VLOOKUP(D945,[1]TASMaps!$H$4:$K$269,3,FALSE)</f>
        <v>TQ08</v>
      </c>
      <c r="C945" s="9" t="str">
        <f>VLOOKUP(D945,[1]TASMaps!$H$4:$K$269,4,FALSE)</f>
        <v>Wellington</v>
      </c>
      <c r="D945" s="9">
        <v>5025</v>
      </c>
      <c r="E945" s="9" t="s">
        <v>84</v>
      </c>
      <c r="F945" s="9" t="s">
        <v>30</v>
      </c>
      <c r="G945" s="9" t="s">
        <v>384</v>
      </c>
      <c r="H945" s="8" t="s">
        <v>20</v>
      </c>
      <c r="I945" s="10">
        <v>519375</v>
      </c>
      <c r="J945" s="10">
        <v>5250705</v>
      </c>
      <c r="K945" s="11">
        <v>-42.89602</v>
      </c>
      <c r="L945" s="11">
        <v>147.23731000000001</v>
      </c>
      <c r="M945" s="8" t="s">
        <v>21</v>
      </c>
      <c r="N945" s="8" t="s">
        <v>37</v>
      </c>
      <c r="O945" s="8">
        <v>1</v>
      </c>
      <c r="P945" s="8">
        <v>1</v>
      </c>
    </row>
    <row r="946" spans="1:16" x14ac:dyDescent="0.15">
      <c r="A946" s="7" t="s">
        <v>1235</v>
      </c>
      <c r="B946" s="9" t="str">
        <f>VLOOKUP(D946,[1]TASMaps!$H$4:$K$269,3,FALSE)</f>
        <v>TN06</v>
      </c>
      <c r="C946" s="9" t="str">
        <f>VLOOKUP(D946,[1]TASMaps!$H$4:$K$269,4,FALSE)</f>
        <v>King William</v>
      </c>
      <c r="D946" s="9">
        <v>4432</v>
      </c>
      <c r="E946" s="9" t="s">
        <v>406</v>
      </c>
      <c r="F946" s="9" t="s">
        <v>227</v>
      </c>
      <c r="G946" s="9" t="s">
        <v>36</v>
      </c>
      <c r="H946" s="8" t="s">
        <v>20</v>
      </c>
      <c r="I946" s="10">
        <v>443130</v>
      </c>
      <c r="J946" s="10">
        <v>5325710</v>
      </c>
      <c r="K946" s="11">
        <v>-42.218710000000002</v>
      </c>
      <c r="L946" s="11">
        <v>146.31094999999999</v>
      </c>
      <c r="M946" s="8" t="s">
        <v>21</v>
      </c>
      <c r="N946" s="8" t="s">
        <v>37</v>
      </c>
      <c r="O946" s="8">
        <v>1</v>
      </c>
      <c r="P946" s="8">
        <v>1</v>
      </c>
    </row>
    <row r="947" spans="1:16" x14ac:dyDescent="0.15">
      <c r="A947" s="7" t="s">
        <v>1236</v>
      </c>
      <c r="B947" s="9" t="str">
        <f>VLOOKUP(D947,[1]TASMaps!$H$4:$K$269,3,FALSE)</f>
        <v>TK03</v>
      </c>
      <c r="C947" s="9" t="str">
        <f>VLOOKUP(D947,[1]TASMaps!$H$4:$K$269,4,FALSE)</f>
        <v>Norfolk Range</v>
      </c>
      <c r="D947" s="9">
        <v>3241</v>
      </c>
      <c r="E947" s="9" t="s">
        <v>216</v>
      </c>
      <c r="F947" s="9" t="s">
        <v>30</v>
      </c>
      <c r="G947" s="9" t="s">
        <v>107</v>
      </c>
      <c r="H947" s="8" t="s">
        <v>20</v>
      </c>
      <c r="I947" s="10">
        <v>326520</v>
      </c>
      <c r="J947" s="10">
        <v>5414060</v>
      </c>
      <c r="K947" s="11">
        <v>-41.406280000000002</v>
      </c>
      <c r="L947" s="11">
        <v>144.92452</v>
      </c>
      <c r="N947" s="8" t="s">
        <v>37</v>
      </c>
      <c r="O947" s="8">
        <v>1</v>
      </c>
      <c r="P947" s="8">
        <v>1</v>
      </c>
    </row>
    <row r="948" spans="1:16" x14ac:dyDescent="0.15">
      <c r="A948" s="7" t="s">
        <v>1237</v>
      </c>
      <c r="B948" s="9" t="str">
        <f>VLOOKUP(D948,[1]TASMaps!$H$4:$K$269,3,FALSE)</f>
        <v>TN05</v>
      </c>
      <c r="C948" s="9" t="str">
        <f>VLOOKUP(D948,[1]TASMaps!$H$4:$K$269,4,FALSE)</f>
        <v>Frenchmans</v>
      </c>
      <c r="D948" s="9">
        <v>3832</v>
      </c>
      <c r="E948" s="9" t="s">
        <v>235</v>
      </c>
      <c r="F948" s="9" t="s">
        <v>23</v>
      </c>
      <c r="G948" s="9" t="s">
        <v>24</v>
      </c>
      <c r="H948" s="8" t="s">
        <v>20</v>
      </c>
      <c r="I948" s="10">
        <v>382090</v>
      </c>
      <c r="J948" s="10">
        <v>5328430</v>
      </c>
      <c r="K948" s="11">
        <v>-42.187390000000001</v>
      </c>
      <c r="L948" s="11">
        <v>145.57209</v>
      </c>
      <c r="N948" s="8" t="s">
        <v>37</v>
      </c>
      <c r="O948" s="8">
        <v>1</v>
      </c>
      <c r="P948" s="8">
        <v>1</v>
      </c>
    </row>
    <row r="949" spans="1:16" x14ac:dyDescent="0.15">
      <c r="A949" s="7" t="s">
        <v>1238</v>
      </c>
      <c r="B949" s="9" t="str">
        <f>VLOOKUP(D949,[1]TASMaps!$H$4:$K$269,3,FALSE)</f>
        <v>TR06</v>
      </c>
      <c r="C949" s="9" t="str">
        <f>VLOOKUP(D949,[1]TASMaps!$H$4:$K$269,4,FALSE)</f>
        <v>Western Arthur</v>
      </c>
      <c r="D949" s="9">
        <v>4421</v>
      </c>
      <c r="E949" s="9" t="s">
        <v>46</v>
      </c>
      <c r="F949" s="9" t="s">
        <v>30</v>
      </c>
      <c r="G949" s="9" t="s">
        <v>27</v>
      </c>
      <c r="H949" s="8" t="s">
        <v>20</v>
      </c>
      <c r="I949" s="10">
        <v>452140</v>
      </c>
      <c r="J949" s="10">
        <v>5217360</v>
      </c>
      <c r="K949" s="11">
        <v>-43.19502</v>
      </c>
      <c r="L949" s="11">
        <v>146.41095999999999</v>
      </c>
      <c r="M949" s="8" t="s">
        <v>21</v>
      </c>
      <c r="N949" s="8">
        <v>4</v>
      </c>
      <c r="O949" s="8">
        <v>4</v>
      </c>
      <c r="P949" s="8">
        <v>5</v>
      </c>
    </row>
    <row r="950" spans="1:16" x14ac:dyDescent="0.15">
      <c r="A950" s="7" t="s">
        <v>1239</v>
      </c>
      <c r="B950" s="9" t="str">
        <f>VLOOKUP(D950,[1]TASMaps!$H$4:$K$269,3,FALSE)</f>
        <v>TK06</v>
      </c>
      <c r="C950" s="9" t="str">
        <f>VLOOKUP(D950,[1]TASMaps!$H$4:$K$269,4,FALSE)</f>
        <v>Fossey Mountains</v>
      </c>
      <c r="D950" s="9">
        <v>4439</v>
      </c>
      <c r="E950" s="9" t="s">
        <v>591</v>
      </c>
      <c r="F950" s="9" t="s">
        <v>30</v>
      </c>
      <c r="G950" s="9" t="s">
        <v>33</v>
      </c>
      <c r="H950" s="8" t="s">
        <v>20</v>
      </c>
      <c r="I950" s="10">
        <v>440220</v>
      </c>
      <c r="J950" s="10">
        <v>5392480</v>
      </c>
      <c r="K950" s="11">
        <v>-41.617159999999998</v>
      </c>
      <c r="L950" s="11">
        <v>146.28245999999999</v>
      </c>
      <c r="M950" s="8" t="s">
        <v>21</v>
      </c>
      <c r="N950" s="8" t="s">
        <v>37</v>
      </c>
      <c r="O950" s="8">
        <v>2</v>
      </c>
      <c r="P950" s="8">
        <v>2</v>
      </c>
    </row>
    <row r="951" spans="1:16" x14ac:dyDescent="0.15">
      <c r="A951" s="7" t="s">
        <v>1240</v>
      </c>
      <c r="B951" s="9" t="str">
        <f>VLOOKUP(D951,[1]TASMaps!$H$4:$K$269,3,FALSE)</f>
        <v>TQ07</v>
      </c>
      <c r="C951" s="9" t="str">
        <f>VLOOKUP(D951,[1]TASMaps!$H$4:$K$269,4,FALSE)</f>
        <v>Snowy Range</v>
      </c>
      <c r="D951" s="9">
        <v>4624</v>
      </c>
      <c r="E951" s="9" t="s">
        <v>568</v>
      </c>
      <c r="F951" s="9" t="s">
        <v>23</v>
      </c>
      <c r="G951" s="9" t="s">
        <v>19</v>
      </c>
      <c r="H951" s="8" t="s">
        <v>20</v>
      </c>
      <c r="I951" s="10">
        <v>471700</v>
      </c>
      <c r="J951" s="10">
        <v>5249390</v>
      </c>
      <c r="K951" s="11">
        <v>-42.907580000000003</v>
      </c>
      <c r="L951" s="11">
        <v>146.65332000000001</v>
      </c>
      <c r="N951" s="8" t="s">
        <v>37</v>
      </c>
      <c r="P951" s="8">
        <v>1</v>
      </c>
    </row>
    <row r="952" spans="1:16" x14ac:dyDescent="0.15">
      <c r="A952" s="7" t="s">
        <v>1241</v>
      </c>
      <c r="B952" s="9" t="str">
        <f>VLOOKUP(D952,[1]TASMaps!$H$4:$K$269,3,FALSE)</f>
        <v>TP06</v>
      </c>
      <c r="C952" s="9" t="str">
        <f>VLOOKUP(D952,[1]TASMaps!$H$4:$K$269,4,FALSE)</f>
        <v>Denison Range</v>
      </c>
      <c r="D952" s="9">
        <v>4427</v>
      </c>
      <c r="E952" s="9" t="s">
        <v>327</v>
      </c>
      <c r="F952" s="9" t="s">
        <v>18</v>
      </c>
      <c r="G952" s="9" t="s">
        <v>19</v>
      </c>
      <c r="H952" s="8" t="s">
        <v>20</v>
      </c>
      <c r="I952" s="10">
        <v>458860</v>
      </c>
      <c r="J952" s="10">
        <v>5271730</v>
      </c>
      <c r="K952" s="11">
        <v>-42.705820000000003</v>
      </c>
      <c r="L952" s="11">
        <v>146.49766</v>
      </c>
      <c r="N952" s="8" t="s">
        <v>37</v>
      </c>
      <c r="O952" s="8">
        <v>1</v>
      </c>
      <c r="P952" s="8">
        <v>1</v>
      </c>
    </row>
    <row r="953" spans="1:16" x14ac:dyDescent="0.15">
      <c r="A953" s="7" t="s">
        <v>1242</v>
      </c>
      <c r="B953" s="9" t="str">
        <f>VLOOKUP(D953,[1]TASMaps!$H$4:$K$269,3,FALSE)</f>
        <v>TN05</v>
      </c>
      <c r="C953" s="9" t="str">
        <f>VLOOKUP(D953,[1]TASMaps!$H$4:$K$269,4,FALSE)</f>
        <v>Frenchmans</v>
      </c>
      <c r="D953" s="9">
        <v>4031</v>
      </c>
      <c r="E953" s="9" t="s">
        <v>337</v>
      </c>
      <c r="F953" s="9" t="s">
        <v>30</v>
      </c>
      <c r="G953" s="9" t="s">
        <v>24</v>
      </c>
      <c r="H953" s="8" t="s">
        <v>20</v>
      </c>
      <c r="I953" s="10">
        <v>405840</v>
      </c>
      <c r="J953" s="10">
        <v>5318660</v>
      </c>
      <c r="K953" s="11">
        <v>-42.278590000000001</v>
      </c>
      <c r="L953" s="11">
        <v>145.85805999999999</v>
      </c>
      <c r="N953" s="8" t="s">
        <v>37</v>
      </c>
      <c r="O953" s="8">
        <v>1</v>
      </c>
      <c r="P953" s="8">
        <v>1</v>
      </c>
    </row>
    <row r="954" spans="1:16" x14ac:dyDescent="0.15">
      <c r="A954" s="7" t="s">
        <v>1243</v>
      </c>
      <c r="B954" s="9" t="str">
        <f>VLOOKUP(D954,[1]TASMaps!$H$4:$K$269,3,FALSE)</f>
        <v>TP06</v>
      </c>
      <c r="C954" s="9" t="str">
        <f>VLOOKUP(D954,[1]TASMaps!$H$4:$K$269,4,FALSE)</f>
        <v>Denison Range</v>
      </c>
      <c r="D954" s="9">
        <v>4229</v>
      </c>
      <c r="E954" s="9" t="s">
        <v>128</v>
      </c>
      <c r="F954" s="9" t="s">
        <v>30</v>
      </c>
      <c r="G954" s="9" t="s">
        <v>19</v>
      </c>
      <c r="H954" s="8" t="s">
        <v>20</v>
      </c>
      <c r="I954" s="10">
        <v>427880</v>
      </c>
      <c r="J954" s="10">
        <v>5292140</v>
      </c>
      <c r="K954" s="11">
        <v>-42.519750000000002</v>
      </c>
      <c r="L954" s="11">
        <v>146.12199000000001</v>
      </c>
      <c r="N954" s="8" t="s">
        <v>37</v>
      </c>
      <c r="O954" s="8">
        <v>2</v>
      </c>
      <c r="P954" s="8">
        <v>2</v>
      </c>
    </row>
    <row r="955" spans="1:16" x14ac:dyDescent="0.15">
      <c r="A955" s="9" t="s">
        <v>1244</v>
      </c>
      <c r="B955" s="9" t="str">
        <f>VLOOKUP(D955,[1]TASMaps!$H$4:$K$269,3,FALSE)</f>
        <v>TL09</v>
      </c>
      <c r="C955" s="9" t="str">
        <f>VLOOKUP(D955,[1]TASMaps!$H$4:$K$269,4,FALSE)</f>
        <v>Avoca</v>
      </c>
      <c r="D955" s="9">
        <v>5636</v>
      </c>
      <c r="E955" s="9" t="s">
        <v>273</v>
      </c>
      <c r="F955" s="9" t="s">
        <v>30</v>
      </c>
      <c r="G955" s="9" t="s">
        <v>78</v>
      </c>
      <c r="H955" s="8" t="s">
        <v>20</v>
      </c>
      <c r="I955" s="10">
        <v>576010</v>
      </c>
      <c r="J955" s="10">
        <v>5365700</v>
      </c>
      <c r="K955" s="11">
        <v>-41.856960000000001</v>
      </c>
      <c r="L955" s="11">
        <v>147.91575</v>
      </c>
      <c r="N955" s="8" t="s">
        <v>37</v>
      </c>
      <c r="P955" s="8">
        <v>1</v>
      </c>
    </row>
    <row r="956" spans="1:16" x14ac:dyDescent="0.15">
      <c r="A956" s="7" t="s">
        <v>1245</v>
      </c>
      <c r="B956" s="9" t="str">
        <f>VLOOKUP(D956,[1]TASMaps!$H$4:$K$269,3,FALSE)</f>
        <v>TQ08</v>
      </c>
      <c r="C956" s="9" t="str">
        <f>VLOOKUP(D956,[1]TASMaps!$H$4:$K$269,4,FALSE)</f>
        <v>Wellington</v>
      </c>
      <c r="D956" s="9">
        <v>5024</v>
      </c>
      <c r="E956" s="9" t="s">
        <v>256</v>
      </c>
      <c r="F956" s="9" t="s">
        <v>30</v>
      </c>
      <c r="G956" s="9" t="s">
        <v>27</v>
      </c>
      <c r="H956" s="8" t="s">
        <v>20</v>
      </c>
      <c r="I956" s="10">
        <v>500500</v>
      </c>
      <c r="J956" s="10">
        <v>5250150</v>
      </c>
      <c r="K956" s="11">
        <v>-42.901260000000001</v>
      </c>
      <c r="L956" s="11">
        <v>147.00612000000001</v>
      </c>
      <c r="N956" s="8" t="s">
        <v>37</v>
      </c>
      <c r="P956" s="8">
        <v>1</v>
      </c>
    </row>
    <row r="957" spans="1:16" x14ac:dyDescent="0.15">
      <c r="A957" s="7" t="s">
        <v>1246</v>
      </c>
      <c r="B957" s="9" t="str">
        <f>VLOOKUP(D957,[1]TASMaps!$H$4:$K$269,3,FALSE)</f>
        <v>TM05</v>
      </c>
      <c r="C957" s="9" t="str">
        <f>VLOOKUP(D957,[1]TASMaps!$H$4:$K$269,4,FALSE)</f>
        <v>Eldon</v>
      </c>
      <c r="D957" s="9">
        <v>3835</v>
      </c>
      <c r="E957" s="9" t="s">
        <v>126</v>
      </c>
      <c r="F957" s="9" t="s">
        <v>30</v>
      </c>
      <c r="G957" s="9" t="s">
        <v>24</v>
      </c>
      <c r="H957" s="8" t="s">
        <v>20</v>
      </c>
      <c r="I957" s="10">
        <v>382340</v>
      </c>
      <c r="J957" s="10">
        <v>5355640</v>
      </c>
      <c r="K957" s="11">
        <v>-41.942439999999998</v>
      </c>
      <c r="L957" s="11">
        <v>145.58058</v>
      </c>
      <c r="N957" s="8" t="s">
        <v>37</v>
      </c>
      <c r="P957" s="8">
        <v>1</v>
      </c>
    </row>
    <row r="958" spans="1:16" x14ac:dyDescent="0.15">
      <c r="A958" s="9" t="s">
        <v>1247</v>
      </c>
      <c r="B958" s="9" t="str">
        <f>VLOOKUP(D958,[1]TASMaps!$H$4:$K$269,3,FALSE)</f>
        <v>TK09</v>
      </c>
      <c r="C958" s="9" t="str">
        <f>VLOOKUP(D958,[1]TASMaps!$H$4:$K$269,4,FALSE)</f>
        <v>Ben Lomond</v>
      </c>
      <c r="D958" s="9">
        <v>5440</v>
      </c>
      <c r="E958" s="9" t="s">
        <v>320</v>
      </c>
      <c r="F958" s="9" t="s">
        <v>30</v>
      </c>
      <c r="G958" s="9" t="s">
        <v>78</v>
      </c>
      <c r="H958" s="8" t="s">
        <v>20</v>
      </c>
      <c r="I958" s="10">
        <v>555850</v>
      </c>
      <c r="J958" s="10">
        <v>5404050</v>
      </c>
      <c r="K958" s="11">
        <v>-41.513240000000003</v>
      </c>
      <c r="L958" s="11">
        <v>147.66929999999999</v>
      </c>
      <c r="N958" s="8" t="s">
        <v>37</v>
      </c>
      <c r="P958" s="8">
        <v>1</v>
      </c>
    </row>
    <row r="959" spans="1:16" x14ac:dyDescent="0.15">
      <c r="A959" s="7" t="s">
        <v>1248</v>
      </c>
      <c r="B959" s="9" t="str">
        <f>VLOOKUP(D959,[1]TASMaps!$H$4:$K$269,3,FALSE)</f>
        <v>TL07</v>
      </c>
      <c r="C959" s="9" t="str">
        <f>VLOOKUP(D959,[1]TASMaps!$H$4:$K$269,4,FALSE)</f>
        <v>Breton</v>
      </c>
      <c r="D959" s="9">
        <v>4637</v>
      </c>
      <c r="E959" s="9" t="s">
        <v>35</v>
      </c>
      <c r="F959" s="9" t="s">
        <v>23</v>
      </c>
      <c r="G959" s="9" t="s">
        <v>36</v>
      </c>
      <c r="H959" s="8" t="s">
        <v>20</v>
      </c>
      <c r="I959" s="10">
        <v>465040</v>
      </c>
      <c r="J959" s="10">
        <v>5374190</v>
      </c>
      <c r="K959" s="11">
        <v>-41.783369999999998</v>
      </c>
      <c r="L959" s="11">
        <v>146.57928999999999</v>
      </c>
      <c r="M959" s="8" t="s">
        <v>21</v>
      </c>
      <c r="N959" s="8" t="s">
        <v>37</v>
      </c>
      <c r="O959" s="8">
        <v>1</v>
      </c>
      <c r="P959" s="8">
        <v>1</v>
      </c>
    </row>
    <row r="960" spans="1:16" x14ac:dyDescent="0.15">
      <c r="A960" s="7" t="s">
        <v>1249</v>
      </c>
      <c r="B960" s="9" t="str">
        <f>VLOOKUP(D960,[1]TASMaps!$H$4:$K$269,3,FALSE)</f>
        <v>TK09</v>
      </c>
      <c r="C960" s="9" t="str">
        <f>VLOOKUP(D960,[1]TASMaps!$H$4:$K$269,4,FALSE)</f>
        <v>Ben Lomond</v>
      </c>
      <c r="D960" s="9">
        <v>5439</v>
      </c>
      <c r="E960" s="9" t="s">
        <v>95</v>
      </c>
      <c r="F960" s="9" t="s">
        <v>30</v>
      </c>
      <c r="G960" s="9" t="s">
        <v>78</v>
      </c>
      <c r="H960" s="8" t="s">
        <v>20</v>
      </c>
      <c r="I960" s="10">
        <v>557110</v>
      </c>
      <c r="J960" s="10">
        <v>5392225</v>
      </c>
      <c r="K960" s="11">
        <v>-41.61965</v>
      </c>
      <c r="L960" s="11">
        <v>147.68552</v>
      </c>
      <c r="N960" s="8" t="s">
        <v>37</v>
      </c>
      <c r="O960" s="8">
        <v>1</v>
      </c>
      <c r="P960" s="8">
        <v>1</v>
      </c>
    </row>
    <row r="961" spans="1:16" x14ac:dyDescent="0.15">
      <c r="A961" s="7" t="s">
        <v>1250</v>
      </c>
      <c r="B961" s="9" t="str">
        <f>VLOOKUP(D961,[1]TASMaps!$H$4:$K$269,3,FALSE)</f>
        <v>TS06</v>
      </c>
      <c r="C961" s="9" t="str">
        <f>VLOOKUP(D961,[1]TASMaps!$H$4:$K$269,4,FALSE)</f>
        <v>Bathurst</v>
      </c>
      <c r="D961" s="9">
        <v>4220</v>
      </c>
      <c r="E961" s="9" t="s">
        <v>157</v>
      </c>
      <c r="F961" s="9" t="s">
        <v>30</v>
      </c>
      <c r="G961" s="9" t="s">
        <v>27</v>
      </c>
      <c r="H961" s="8" t="s">
        <v>20</v>
      </c>
      <c r="I961" s="10">
        <v>439060</v>
      </c>
      <c r="J961" s="10">
        <v>5208210</v>
      </c>
      <c r="K961" s="11">
        <v>-43.27646</v>
      </c>
      <c r="L961" s="11">
        <v>146.24897000000001</v>
      </c>
      <c r="N961" s="8" t="s">
        <v>37</v>
      </c>
      <c r="O961" s="8">
        <v>2</v>
      </c>
      <c r="P961" s="8">
        <v>2</v>
      </c>
    </row>
    <row r="962" spans="1:16" x14ac:dyDescent="0.15">
      <c r="A962" s="7" t="s">
        <v>1251</v>
      </c>
      <c r="B962" s="9" t="str">
        <f>VLOOKUP(D962,[1]TASMaps!$H$4:$K$269,3,FALSE)</f>
        <v>TL07</v>
      </c>
      <c r="C962" s="9" t="str">
        <f>VLOOKUP(D962,[1]TASMaps!$H$4:$K$269,4,FALSE)</f>
        <v>Breton</v>
      </c>
      <c r="D962" s="9">
        <v>4836</v>
      </c>
      <c r="E962" s="9" t="s">
        <v>168</v>
      </c>
      <c r="F962" s="9" t="s">
        <v>30</v>
      </c>
      <c r="G962" s="9" t="s">
        <v>36</v>
      </c>
      <c r="H962" s="8" t="s">
        <v>20</v>
      </c>
      <c r="I962" s="10">
        <v>488800</v>
      </c>
      <c r="J962" s="10">
        <v>5366540</v>
      </c>
      <c r="K962" s="11">
        <v>-41.852960000000003</v>
      </c>
      <c r="L962" s="11">
        <v>146.86507</v>
      </c>
      <c r="N962" s="8" t="s">
        <v>37</v>
      </c>
      <c r="P962" s="8">
        <v>1</v>
      </c>
    </row>
    <row r="963" spans="1:16" x14ac:dyDescent="0.15">
      <c r="A963" s="9" t="s">
        <v>1252</v>
      </c>
      <c r="B963" s="9" t="str">
        <f>VLOOKUP(D963,[1]TASMaps!$H$4:$K$269,3,FALSE)</f>
        <v>TR08</v>
      </c>
      <c r="C963" s="9" t="str">
        <f>VLOOKUP(D963,[1]TASMaps!$H$4:$K$269,4,FALSE)</f>
        <v>Channel</v>
      </c>
      <c r="D963" s="9">
        <v>5021</v>
      </c>
      <c r="E963" s="9" t="s">
        <v>403</v>
      </c>
      <c r="F963" s="9" t="s">
        <v>30</v>
      </c>
      <c r="G963" s="9" t="s">
        <v>27</v>
      </c>
      <c r="H963" s="8" t="s">
        <v>20</v>
      </c>
      <c r="I963" s="10">
        <v>502750</v>
      </c>
      <c r="J963" s="10">
        <v>5219150</v>
      </c>
      <c r="K963" s="11">
        <v>-43.180410000000002</v>
      </c>
      <c r="L963" s="11">
        <v>147.03384</v>
      </c>
      <c r="N963" s="8" t="s">
        <v>37</v>
      </c>
      <c r="P963" s="8">
        <v>1</v>
      </c>
    </row>
    <row r="964" spans="1:16" x14ac:dyDescent="0.15">
      <c r="A964" s="7" t="s">
        <v>1253</v>
      </c>
      <c r="B964" s="9" t="str">
        <f>VLOOKUP(D964,[1]TASMaps!$H$4:$K$269,3,FALSE)</f>
        <v>TR06</v>
      </c>
      <c r="C964" s="9" t="str">
        <f>VLOOKUP(D964,[1]TASMaps!$H$4:$K$269,4,FALSE)</f>
        <v>Western Arthur</v>
      </c>
      <c r="D964" s="9">
        <v>4223</v>
      </c>
      <c r="E964" s="9" t="s">
        <v>318</v>
      </c>
      <c r="F964" s="9" t="s">
        <v>23</v>
      </c>
      <c r="G964" s="9" t="s">
        <v>19</v>
      </c>
      <c r="H964" s="8" t="s">
        <v>20</v>
      </c>
      <c r="I964" s="10">
        <v>429650</v>
      </c>
      <c r="J964" s="10">
        <v>5230870</v>
      </c>
      <c r="K964" s="11">
        <v>-43.071620000000003</v>
      </c>
      <c r="L964" s="11">
        <v>146.13589999999999</v>
      </c>
      <c r="N964" s="8" t="s">
        <v>37</v>
      </c>
      <c r="O964" s="8">
        <v>1</v>
      </c>
      <c r="P964" s="8">
        <v>1</v>
      </c>
    </row>
    <row r="965" spans="1:16" x14ac:dyDescent="0.15">
      <c r="A965" s="7" t="s">
        <v>1253</v>
      </c>
      <c r="B965" s="9" t="str">
        <f>VLOOKUP(D965,[1]TASMaps!$H$4:$K$269,3,FALSE)</f>
        <v>TL05</v>
      </c>
      <c r="C965" s="9" t="str">
        <f>VLOOKUP(D965,[1]TASMaps!$H$4:$K$269,4,FALSE)</f>
        <v>Murchison</v>
      </c>
      <c r="D965" s="9">
        <v>4038</v>
      </c>
      <c r="E965" s="9" t="s">
        <v>90</v>
      </c>
      <c r="F965" s="9" t="s">
        <v>23</v>
      </c>
      <c r="G965" s="9" t="s">
        <v>142</v>
      </c>
      <c r="H965" s="8" t="s">
        <v>20</v>
      </c>
      <c r="I965" s="10">
        <v>412340</v>
      </c>
      <c r="J965" s="10">
        <v>5388040</v>
      </c>
      <c r="K965" s="11">
        <v>-41.65457</v>
      </c>
      <c r="L965" s="11">
        <v>145.94721000000001</v>
      </c>
      <c r="N965" s="8" t="s">
        <v>37</v>
      </c>
      <c r="P965" s="8">
        <v>1</v>
      </c>
    </row>
    <row r="966" spans="1:16" x14ac:dyDescent="0.15">
      <c r="A966" s="7" t="s">
        <v>1254</v>
      </c>
      <c r="B966" s="9" t="str">
        <f>VLOOKUP(D966,[1]TASMaps!$H$4:$K$269,3,FALSE)</f>
        <v>TN08</v>
      </c>
      <c r="C966" s="9" t="str">
        <f>VLOOKUP(D966,[1]TASMaps!$H$4:$K$269,4,FALSE)</f>
        <v>Tiberias</v>
      </c>
      <c r="D966" s="9">
        <v>5031</v>
      </c>
      <c r="E966" s="9" t="s">
        <v>1255</v>
      </c>
      <c r="F966" s="9" t="s">
        <v>30</v>
      </c>
      <c r="G966" s="9" t="s">
        <v>36</v>
      </c>
      <c r="H966" s="8" t="s">
        <v>20</v>
      </c>
      <c r="I966" s="10">
        <v>507745</v>
      </c>
      <c r="J966" s="10">
        <v>5318090</v>
      </c>
      <c r="K966" s="11">
        <v>-42.289369999999998</v>
      </c>
      <c r="L966" s="11">
        <v>147.09395000000001</v>
      </c>
      <c r="N966" s="8" t="s">
        <v>37</v>
      </c>
      <c r="O966" s="8">
        <v>1</v>
      </c>
      <c r="P966" s="8">
        <v>1</v>
      </c>
    </row>
    <row r="967" spans="1:16" x14ac:dyDescent="0.15">
      <c r="A967" s="9" t="s">
        <v>1256</v>
      </c>
      <c r="B967" s="9" t="str">
        <f>VLOOKUP(D967,[1]TASMaps!$H$4:$K$269,3,FALSE)</f>
        <v>TK03</v>
      </c>
      <c r="C967" s="9" t="str">
        <f>VLOOKUP(D967,[1]TASMaps!$H$4:$K$269,4,FALSE)</f>
        <v>Norfolk Range</v>
      </c>
      <c r="D967" s="9">
        <v>3241</v>
      </c>
      <c r="E967" s="9" t="s">
        <v>216</v>
      </c>
      <c r="F967" s="9" t="s">
        <v>23</v>
      </c>
      <c r="G967" s="9" t="s">
        <v>107</v>
      </c>
      <c r="H967" s="8" t="s">
        <v>20</v>
      </c>
      <c r="I967" s="10">
        <v>326920</v>
      </c>
      <c r="J967" s="10">
        <v>5417350</v>
      </c>
      <c r="K967" s="11">
        <v>-41.376750000000001</v>
      </c>
      <c r="L967" s="11">
        <v>144.93024</v>
      </c>
      <c r="P967" s="8">
        <v>1</v>
      </c>
    </row>
    <row r="968" spans="1:16" x14ac:dyDescent="0.15">
      <c r="A968" s="7" t="s">
        <v>1257</v>
      </c>
      <c r="B968" s="9" t="str">
        <f>VLOOKUP(D968,[1]TASMaps!$H$4:$K$269,3,FALSE)</f>
        <v>TP06</v>
      </c>
      <c r="C968" s="9" t="str">
        <f>VLOOKUP(D968,[1]TASMaps!$H$4:$K$269,4,FALSE)</f>
        <v>Denison Range</v>
      </c>
      <c r="D968" s="9">
        <v>4428</v>
      </c>
      <c r="E968" s="9" t="s">
        <v>414</v>
      </c>
      <c r="F968" s="9" t="s">
        <v>30</v>
      </c>
      <c r="G968" s="9" t="s">
        <v>19</v>
      </c>
      <c r="H968" s="8" t="s">
        <v>20</v>
      </c>
      <c r="I968" s="10">
        <v>445455</v>
      </c>
      <c r="J968" s="10">
        <v>5281070</v>
      </c>
      <c r="K968" s="11">
        <v>-42.62088</v>
      </c>
      <c r="L968" s="11">
        <v>146.33488</v>
      </c>
      <c r="M968" s="8" t="s">
        <v>21</v>
      </c>
      <c r="N968" s="8">
        <v>3</v>
      </c>
      <c r="O968" s="8">
        <v>3</v>
      </c>
      <c r="P968" s="8">
        <v>4</v>
      </c>
    </row>
    <row r="969" spans="1:16" x14ac:dyDescent="0.15">
      <c r="A969" s="7" t="s">
        <v>1258</v>
      </c>
      <c r="B969" s="9" t="str">
        <f>VLOOKUP(D969,[1]TASMaps!$H$4:$K$269,3,FALSE)</f>
        <v>TP06</v>
      </c>
      <c r="C969" s="9" t="str">
        <f>VLOOKUP(D969,[1]TASMaps!$H$4:$K$269,4,FALSE)</f>
        <v>Denison Range</v>
      </c>
      <c r="D969" s="9">
        <v>4429</v>
      </c>
      <c r="E969" s="9" t="s">
        <v>218</v>
      </c>
      <c r="F969" s="9" t="s">
        <v>30</v>
      </c>
      <c r="G969" s="9" t="s">
        <v>36</v>
      </c>
      <c r="H969" s="8" t="s">
        <v>20</v>
      </c>
      <c r="I969" s="10">
        <v>449895</v>
      </c>
      <c r="J969" s="10">
        <v>5297410</v>
      </c>
      <c r="K969" s="11">
        <v>-42.474040000000002</v>
      </c>
      <c r="L969" s="11">
        <v>146.39044999999999</v>
      </c>
      <c r="M969" s="8" t="s">
        <v>21</v>
      </c>
      <c r="N969" s="8">
        <v>3</v>
      </c>
      <c r="O969" s="8">
        <v>3</v>
      </c>
      <c r="P969" s="8">
        <v>3</v>
      </c>
    </row>
    <row r="970" spans="1:16" x14ac:dyDescent="0.15">
      <c r="A970" s="7" t="s">
        <v>1259</v>
      </c>
      <c r="B970" s="9" t="str">
        <f>VLOOKUP(D970,[1]TASMaps!$H$4:$K$269,3,FALSE)</f>
        <v>TS07</v>
      </c>
      <c r="C970" s="9" t="str">
        <f>VLOOKUP(D970,[1]TASMaps!$H$4:$K$269,4,FALSE)</f>
        <v>Adamsons</v>
      </c>
      <c r="D970" s="9">
        <v>4618</v>
      </c>
      <c r="E970" s="9" t="s">
        <v>343</v>
      </c>
      <c r="F970" s="9" t="s">
        <v>30</v>
      </c>
      <c r="G970" s="9" t="s">
        <v>27</v>
      </c>
      <c r="H970" s="8" t="s">
        <v>20</v>
      </c>
      <c r="I970" s="10">
        <v>472440</v>
      </c>
      <c r="J970" s="10">
        <v>5185920</v>
      </c>
      <c r="K970" s="11">
        <v>-43.479129999999998</v>
      </c>
      <c r="L970" s="11">
        <v>146.65922</v>
      </c>
      <c r="M970" s="8" t="s">
        <v>21</v>
      </c>
      <c r="N970" s="8">
        <v>3</v>
      </c>
      <c r="O970" s="8">
        <v>3</v>
      </c>
      <c r="P970" s="8">
        <v>4</v>
      </c>
    </row>
    <row r="971" spans="1:16" x14ac:dyDescent="0.15">
      <c r="A971" s="9" t="s">
        <v>1260</v>
      </c>
      <c r="B971" s="9" t="str">
        <f>VLOOKUP(D971,[1]TASMaps!$H$4:$K$269,3,FALSE)</f>
        <v>TN09</v>
      </c>
      <c r="C971" s="9" t="str">
        <f>VLOOKUP(D971,[1]TASMaps!$H$4:$K$269,4,FALSE)</f>
        <v>Swanston</v>
      </c>
      <c r="D971" s="9">
        <v>5431</v>
      </c>
      <c r="E971" s="9" t="s">
        <v>284</v>
      </c>
      <c r="F971" s="9" t="s">
        <v>30</v>
      </c>
      <c r="G971" s="9" t="s">
        <v>59</v>
      </c>
      <c r="H971" s="8" t="s">
        <v>20</v>
      </c>
      <c r="I971" s="10">
        <v>542610</v>
      </c>
      <c r="J971" s="10">
        <v>5312630</v>
      </c>
      <c r="K971" s="11">
        <v>-42.337420000000002</v>
      </c>
      <c r="L971" s="11">
        <v>147.51723999999999</v>
      </c>
      <c r="N971" s="8" t="s">
        <v>37</v>
      </c>
      <c r="P971" s="8">
        <v>1</v>
      </c>
    </row>
    <row r="972" spans="1:16" x14ac:dyDescent="0.15">
      <c r="A972" s="7" t="s">
        <v>1261</v>
      </c>
      <c r="B972" s="9" t="str">
        <f>VLOOKUP(D972,[1]TASMaps!$H$4:$K$269,3,FALSE)</f>
        <v>TN05</v>
      </c>
      <c r="C972" s="9" t="str">
        <f>VLOOKUP(D972,[1]TASMaps!$H$4:$K$269,4,FALSE)</f>
        <v>Frenchmans</v>
      </c>
      <c r="D972" s="9">
        <v>3832</v>
      </c>
      <c r="E972" s="9" t="s">
        <v>235</v>
      </c>
      <c r="F972" s="9" t="s">
        <v>18</v>
      </c>
      <c r="G972" s="9" t="s">
        <v>24</v>
      </c>
      <c r="H972" s="8" t="s">
        <v>20</v>
      </c>
      <c r="I972" s="10">
        <v>382870</v>
      </c>
      <c r="J972" s="10">
        <v>5329580</v>
      </c>
      <c r="K972" s="11">
        <v>-42.177160000000001</v>
      </c>
      <c r="L972" s="11">
        <v>145.58176</v>
      </c>
      <c r="N972" s="8" t="s">
        <v>37</v>
      </c>
      <c r="P972" s="8">
        <v>1</v>
      </c>
    </row>
    <row r="973" spans="1:16" x14ac:dyDescent="0.15">
      <c r="A973" s="7" t="s">
        <v>1262</v>
      </c>
      <c r="B973" s="9" t="str">
        <f>VLOOKUP(D973,[1]TASMaps!$H$4:$K$269,3,FALSE)</f>
        <v>TJ09</v>
      </c>
      <c r="C973" s="9" t="str">
        <f>VLOOKUP(D973,[1]TASMaps!$H$4:$K$269,4,FALSE)</f>
        <v>Legerwood</v>
      </c>
      <c r="D973" s="9">
        <v>5642</v>
      </c>
      <c r="E973" s="9" t="s">
        <v>43</v>
      </c>
      <c r="F973" s="9" t="s">
        <v>30</v>
      </c>
      <c r="G973" s="9" t="s">
        <v>44</v>
      </c>
      <c r="H973" s="8" t="s">
        <v>20</v>
      </c>
      <c r="I973" s="10">
        <v>580065</v>
      </c>
      <c r="J973" s="10">
        <v>5420810</v>
      </c>
      <c r="K973" s="11">
        <v>-41.360239999999997</v>
      </c>
      <c r="L973" s="11">
        <v>147.95723000000001</v>
      </c>
      <c r="N973" s="8" t="s">
        <v>37</v>
      </c>
      <c r="O973" s="8">
        <v>1</v>
      </c>
      <c r="P973" s="8">
        <v>1</v>
      </c>
    </row>
    <row r="974" spans="1:16" x14ac:dyDescent="0.15">
      <c r="A974" s="9" t="s">
        <v>1263</v>
      </c>
      <c r="B974" s="9" t="str">
        <f>VLOOKUP(D974,[1]TASMaps!$H$4:$K$269,3,FALSE)</f>
        <v>TK04</v>
      </c>
      <c r="C974" s="9" t="str">
        <f>VLOOKUP(D974,[1]TASMaps!$H$4:$K$269,4,FALSE)</f>
        <v>White River</v>
      </c>
      <c r="D974" s="9">
        <v>3440</v>
      </c>
      <c r="E974" s="9" t="s">
        <v>1145</v>
      </c>
      <c r="F974" s="9" t="s">
        <v>30</v>
      </c>
      <c r="G974" s="9" t="s">
        <v>117</v>
      </c>
      <c r="H974" s="8" t="s">
        <v>20</v>
      </c>
      <c r="I974" s="10">
        <v>357030</v>
      </c>
      <c r="J974" s="10">
        <v>5402610</v>
      </c>
      <c r="K974" s="11">
        <v>-41.51538</v>
      </c>
      <c r="L974" s="11">
        <v>145.28665000000001</v>
      </c>
      <c r="N974" s="8" t="s">
        <v>37</v>
      </c>
      <c r="P974" s="8">
        <v>1</v>
      </c>
    </row>
    <row r="975" spans="1:16" x14ac:dyDescent="0.15">
      <c r="A975" s="7" t="s">
        <v>1264</v>
      </c>
      <c r="B975" s="9" t="str">
        <f>VLOOKUP(D975,[1]TASMaps!$H$4:$K$269,3,FALSE)</f>
        <v>TM04</v>
      </c>
      <c r="C975" s="9" t="str">
        <f>VLOOKUP(D975,[1]TASMaps!$H$4:$K$269,4,FALSE)</f>
        <v>Tully</v>
      </c>
      <c r="D975" s="9">
        <v>3635</v>
      </c>
      <c r="E975" s="9" t="s">
        <v>1265</v>
      </c>
      <c r="F975" s="9" t="s">
        <v>30</v>
      </c>
      <c r="G975" s="9" t="s">
        <v>24</v>
      </c>
      <c r="H975" s="8" t="s">
        <v>20</v>
      </c>
      <c r="I975" s="10">
        <v>360940</v>
      </c>
      <c r="J975" s="10">
        <v>5357000</v>
      </c>
      <c r="K975" s="11">
        <v>-41.92671</v>
      </c>
      <c r="L975" s="11">
        <v>145.32284000000001</v>
      </c>
      <c r="N975" s="8" t="s">
        <v>37</v>
      </c>
      <c r="O975" s="8">
        <v>1</v>
      </c>
      <c r="P975" s="8">
        <v>1</v>
      </c>
    </row>
    <row r="976" spans="1:16" x14ac:dyDescent="0.15">
      <c r="A976" s="7" t="s">
        <v>1266</v>
      </c>
      <c r="B976" s="9" t="str">
        <f>VLOOKUP(D976,[1]TASMaps!$H$4:$K$269,3,FALSE)</f>
        <v>TL06</v>
      </c>
      <c r="C976" s="9" t="str">
        <f>VLOOKUP(D976,[1]TASMaps!$H$4:$K$269,4,FALSE)</f>
        <v>Jerusalem</v>
      </c>
      <c r="D976" s="9">
        <v>4437</v>
      </c>
      <c r="E976" s="9" t="s">
        <v>448</v>
      </c>
      <c r="F976" s="9" t="s">
        <v>30</v>
      </c>
      <c r="G976" s="9" t="s">
        <v>33</v>
      </c>
      <c r="H976" s="8" t="s">
        <v>20</v>
      </c>
      <c r="I976" s="10">
        <v>442280</v>
      </c>
      <c r="J976" s="10">
        <v>5370655</v>
      </c>
      <c r="K976" s="11">
        <v>-41.813879999999997</v>
      </c>
      <c r="L976" s="11">
        <v>146.30507</v>
      </c>
      <c r="N976" s="8" t="s">
        <v>37</v>
      </c>
      <c r="P976" s="8">
        <v>2</v>
      </c>
    </row>
    <row r="980" spans="1:28" s="12" customFormat="1" x14ac:dyDescent="0.15">
      <c r="A980" s="9"/>
      <c r="B980" s="9"/>
      <c r="C980" s="9"/>
      <c r="D980" s="9"/>
      <c r="E980" s="9"/>
      <c r="F980" s="9"/>
      <c r="G980" s="9"/>
      <c r="H980" s="9"/>
      <c r="I980" s="10"/>
      <c r="J980" s="10"/>
      <c r="K980" s="16"/>
      <c r="L980" s="16"/>
      <c r="M980" s="8"/>
      <c r="N980" s="8" t="s">
        <v>1267</v>
      </c>
      <c r="O980" s="8"/>
      <c r="P980" s="8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</sheetData>
  <autoFilter ref="A1:P976" xr:uid="{00000000-0001-0000-0100-000000000000}">
    <sortState xmlns:xlrd2="http://schemas.microsoft.com/office/spreadsheetml/2017/richdata2" ref="A5:P970">
      <sortCondition ref="A1:A976"/>
    </sortState>
  </autoFilter>
  <conditionalFormatting sqref="A2:P976">
    <cfRule type="expression" dxfId="1" priority="3" stopIfTrue="1">
      <formula>#REF!="Y"</formula>
    </cfRule>
    <cfRule type="expression" dxfId="0" priority="4">
      <formula>MOD(ROW(),2)=1</formula>
    </cfRule>
  </conditionalFormatting>
  <printOptions horizontalCentered="1" gridLines="1"/>
  <pageMargins left="0.39370078740157483" right="0.43307086614173229" top="0.15748031496062992" bottom="0.11811023622047245" header="0.11811023622047245" footer="0.11811023622047245"/>
  <pageSetup paperSize="9" scale="60" orientation="landscape" horizontalDpi="720" verticalDpi="72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HIGH_PLACES</vt:lpstr>
      <vt:lpstr>HighPlaces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Kladnig</dc:creator>
  <cp:lastModifiedBy>Adrian Kladnig</cp:lastModifiedBy>
  <dcterms:created xsi:type="dcterms:W3CDTF">2026-04-10T12:55:11Z</dcterms:created>
  <dcterms:modified xsi:type="dcterms:W3CDTF">2026-04-10T12:58:50Z</dcterms:modified>
</cp:coreProperties>
</file>
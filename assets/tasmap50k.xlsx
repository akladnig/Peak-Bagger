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rian/Development/mapping/peak_bagger/assets/"/>
    </mc:Choice>
  </mc:AlternateContent>
  <xr:revisionPtr revIDLastSave="0" documentId="13_ncr:1_{351800FA-1677-0741-A7D7-47591BBD9DBF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tasmap50k" sheetId="1" r:id="rId1"/>
    <sheet name="Working" sheetId="2" r:id="rId2"/>
    <sheet name="Codes" sheetId="3" r:id="rId3"/>
  </sheets>
  <definedNames>
    <definedName name="_xlnm._FilterDatabase" localSheetId="0" hidden="1">tasmap50k!$A$1:$H$66</definedName>
    <definedName name="_xlnm._FilterDatabase" localSheetId="1" hidden="1">Working!$A$1:$O$76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" l="1"/>
  <c r="L1" i="1"/>
  <c r="M1" i="1"/>
  <c r="N1" i="1"/>
  <c r="O1" i="1"/>
  <c r="B1" i="1"/>
  <c r="C1" i="1"/>
  <c r="D1" i="1"/>
  <c r="E1" i="1"/>
  <c r="F1" i="1"/>
  <c r="G1" i="1"/>
  <c r="H1" i="1"/>
  <c r="I1" i="1"/>
  <c r="J1" i="1"/>
  <c r="A1" i="1"/>
  <c r="C5" i="3" l="1"/>
  <c r="C6" i="3" s="1"/>
  <c r="C10" i="3"/>
  <c r="C11" i="3" s="1"/>
  <c r="C12" i="3" l="1"/>
</calcChain>
</file>

<file path=xl/sharedStrings.xml><?xml version="1.0" encoding="utf-8"?>
<sst xmlns="http://schemas.openxmlformats.org/spreadsheetml/2006/main" count="712" uniqueCount="569">
  <si>
    <t>Series</t>
  </si>
  <si>
    <t>Name</t>
  </si>
  <si>
    <t>Parent</t>
  </si>
  <si>
    <t>MGRS</t>
  </si>
  <si>
    <t>TH03</t>
  </si>
  <si>
    <t>Montagu River</t>
  </si>
  <si>
    <t xml:space="preserve">CQ   </t>
  </si>
  <si>
    <t>TJ03</t>
  </si>
  <si>
    <t>Rebecca</t>
  </si>
  <si>
    <t>TK03</t>
  </si>
  <si>
    <t>Norfolk Range</t>
  </si>
  <si>
    <t xml:space="preserve">CP  CQ </t>
  </si>
  <si>
    <t>TJ04</t>
  </si>
  <si>
    <t>Rapid River</t>
  </si>
  <si>
    <t>TK04</t>
  </si>
  <si>
    <t>White River</t>
  </si>
  <si>
    <t>TL04</t>
  </si>
  <si>
    <t>Lake Pieman</t>
  </si>
  <si>
    <t xml:space="preserve">CP   </t>
  </si>
  <si>
    <t>TM04</t>
  </si>
  <si>
    <t>Tully</t>
  </si>
  <si>
    <t>TN04</t>
  </si>
  <si>
    <t>Macquarie Harbour</t>
  </si>
  <si>
    <t>TH05</t>
  </si>
  <si>
    <t>Table Cape</t>
  </si>
  <si>
    <t xml:space="preserve">CQ DQ  </t>
  </si>
  <si>
    <t>TJ05</t>
  </si>
  <si>
    <t>Emu River</t>
  </si>
  <si>
    <t>TK05</t>
  </si>
  <si>
    <t>Black Bluff</t>
  </si>
  <si>
    <t>CP DP CQ DQ</t>
  </si>
  <si>
    <t>TL05</t>
  </si>
  <si>
    <t>Murchison</t>
  </si>
  <si>
    <t xml:space="preserve">CP DP  </t>
  </si>
  <si>
    <t>TM05</t>
  </si>
  <si>
    <t>Eldon</t>
  </si>
  <si>
    <t>TN05</t>
  </si>
  <si>
    <t>Frenchmans</t>
  </si>
  <si>
    <t>TP05</t>
  </si>
  <si>
    <t>Princess Range</t>
  </si>
  <si>
    <t xml:space="preserve">CN DN  </t>
  </si>
  <si>
    <t>TQ05</t>
  </si>
  <si>
    <t>Dohertys</t>
  </si>
  <si>
    <t>TS05</t>
  </si>
  <si>
    <t>Port Davey</t>
  </si>
  <si>
    <t>CN DN CM DM</t>
  </si>
  <si>
    <t>TJ06</t>
  </si>
  <si>
    <t>Paloona</t>
  </si>
  <si>
    <t xml:space="preserve">DQ   </t>
  </si>
  <si>
    <t>TK06</t>
  </si>
  <si>
    <t>Fossey Mountains</t>
  </si>
  <si>
    <t xml:space="preserve">DP  DQ </t>
  </si>
  <si>
    <t>TL06</t>
  </si>
  <si>
    <t>Jerusalem</t>
  </si>
  <si>
    <t xml:space="preserve">DP   </t>
  </si>
  <si>
    <t>TM06</t>
  </si>
  <si>
    <t>St Clair</t>
  </si>
  <si>
    <t>TN06</t>
  </si>
  <si>
    <t>King William</t>
  </si>
  <si>
    <t>TP06</t>
  </si>
  <si>
    <t>Denison Range</t>
  </si>
  <si>
    <t xml:space="preserve">DN   </t>
  </si>
  <si>
    <t>TQ06</t>
  </si>
  <si>
    <t>Lake Pedder</t>
  </si>
  <si>
    <t>TR06</t>
  </si>
  <si>
    <t>Western Arthur</t>
  </si>
  <si>
    <t>TS06</t>
  </si>
  <si>
    <t>Bathurst</t>
  </si>
  <si>
    <t>TT06</t>
  </si>
  <si>
    <t>South Coast</t>
  </si>
  <si>
    <t xml:space="preserve">DM   </t>
  </si>
  <si>
    <t>TJ07</t>
  </si>
  <si>
    <t>Dazzler</t>
  </si>
  <si>
    <t>TK07</t>
  </si>
  <si>
    <t>Meander Valley</t>
  </si>
  <si>
    <t>TL07</t>
  </si>
  <si>
    <t>Breton</t>
  </si>
  <si>
    <t>TM07</t>
  </si>
  <si>
    <t>Penstock</t>
  </si>
  <si>
    <t>TN07</t>
  </si>
  <si>
    <t>Victoria Valley</t>
  </si>
  <si>
    <t>TP07</t>
  </si>
  <si>
    <t>Meadowbank</t>
  </si>
  <si>
    <t>TQ07</t>
  </si>
  <si>
    <t>Snowy Range</t>
  </si>
  <si>
    <t>TR07</t>
  </si>
  <si>
    <t>Hartz</t>
  </si>
  <si>
    <t>TS07</t>
  </si>
  <si>
    <t>Adamsons</t>
  </si>
  <si>
    <t>TJ08</t>
  </si>
  <si>
    <t>Sideling</t>
  </si>
  <si>
    <t xml:space="preserve">EQ   </t>
  </si>
  <si>
    <t>TK08</t>
  </si>
  <si>
    <t>Perth</t>
  </si>
  <si>
    <t xml:space="preserve">EP  EQ </t>
  </si>
  <si>
    <t>TL08</t>
  </si>
  <si>
    <t>Hummocky</t>
  </si>
  <si>
    <t xml:space="preserve">EP   </t>
  </si>
  <si>
    <t>TM08</t>
  </si>
  <si>
    <t>Dogs Head Tier</t>
  </si>
  <si>
    <t>TN08</t>
  </si>
  <si>
    <t>Tiberias</t>
  </si>
  <si>
    <t>TP08</t>
  </si>
  <si>
    <t>Green Ponds</t>
  </si>
  <si>
    <t xml:space="preserve">EN   </t>
  </si>
  <si>
    <t>TQ08</t>
  </si>
  <si>
    <t>Wellington</t>
  </si>
  <si>
    <t>TR08</t>
  </si>
  <si>
    <t>Channel</t>
  </si>
  <si>
    <t>TS08</t>
  </si>
  <si>
    <t>South Bruny</t>
  </si>
  <si>
    <t>TC09</t>
  </si>
  <si>
    <t>Blyth</t>
  </si>
  <si>
    <t xml:space="preserve">ES   </t>
  </si>
  <si>
    <t>TD09</t>
  </si>
  <si>
    <t>Prime Seal</t>
  </si>
  <si>
    <t xml:space="preserve">ER   </t>
  </si>
  <si>
    <t>TH09</t>
  </si>
  <si>
    <t>Boobyalla</t>
  </si>
  <si>
    <t>TJ09</t>
  </si>
  <si>
    <t>Legerwood</t>
  </si>
  <si>
    <t>TK09</t>
  </si>
  <si>
    <t>Ben Lomond</t>
  </si>
  <si>
    <t>TL09</t>
  </si>
  <si>
    <t>Avoca</t>
  </si>
  <si>
    <t>TM09</t>
  </si>
  <si>
    <t>Lake Leake</t>
  </si>
  <si>
    <t>TN09</t>
  </si>
  <si>
    <t>Swanston</t>
  </si>
  <si>
    <t>TP09</t>
  </si>
  <si>
    <t>Prosser</t>
  </si>
  <si>
    <t>TQ09</t>
  </si>
  <si>
    <t>Frederick Henry</t>
  </si>
  <si>
    <t>TR09</t>
  </si>
  <si>
    <t>Tasman Peninsula</t>
  </si>
  <si>
    <t>TD10</t>
  </si>
  <si>
    <t>Babel</t>
  </si>
  <si>
    <t xml:space="preserve">ER FR  </t>
  </si>
  <si>
    <t>TF10</t>
  </si>
  <si>
    <t>Armstrong</t>
  </si>
  <si>
    <t>TH10</t>
  </si>
  <si>
    <t>Mount William</t>
  </si>
  <si>
    <t xml:space="preserve">EQ FQ  </t>
  </si>
  <si>
    <t>TJ10</t>
  </si>
  <si>
    <t>Bay of Fires</t>
  </si>
  <si>
    <t>TK10</t>
  </si>
  <si>
    <t>Nicholas</t>
  </si>
  <si>
    <t>EP FP EQ FQ</t>
  </si>
  <si>
    <t>TL10</t>
  </si>
  <si>
    <t>Douglas River</t>
  </si>
  <si>
    <t xml:space="preserve">EP FP  </t>
  </si>
  <si>
    <t>TM10</t>
  </si>
  <si>
    <t>Moulting Lagoon</t>
  </si>
  <si>
    <t>TN10</t>
  </si>
  <si>
    <t>Great Oyster</t>
  </si>
  <si>
    <t>TP10</t>
  </si>
  <si>
    <t>Maria</t>
  </si>
  <si>
    <t xml:space="preserve">EN FN  </t>
  </si>
  <si>
    <t>09</t>
  </si>
  <si>
    <t>10</t>
  </si>
  <si>
    <t>03</t>
  </si>
  <si>
    <t>05</t>
  </si>
  <si>
    <t>04</t>
  </si>
  <si>
    <t>06</t>
  </si>
  <si>
    <t>07</t>
  </si>
  <si>
    <t>08</t>
  </si>
  <si>
    <t>01</t>
  </si>
  <si>
    <t>02</t>
  </si>
  <si>
    <t>Min</t>
  </si>
  <si>
    <t>Max</t>
  </si>
  <si>
    <t>C</t>
  </si>
  <si>
    <t>D</t>
  </si>
  <si>
    <t>F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</si>
  <si>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</si>
  <si>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</si>
  <si>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</si>
  <si>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</si>
  <si>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</si>
  <si>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</si>
  <si>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</si>
  <si>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</si>
  <si>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</si>
  <si>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</si>
  <si>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</si>
  <si>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E</t>
  </si>
  <si>
    <t>G</t>
  </si>
  <si>
    <t>TP04</t>
  </si>
  <si>
    <t>High Rocky</t>
  </si>
  <si>
    <t>TH04</t>
  </si>
  <si>
    <t>The Nut</t>
  </si>
  <si>
    <t>TH07</t>
  </si>
  <si>
    <t>Curries</t>
  </si>
  <si>
    <t>Noland</t>
  </si>
  <si>
    <t>TH08</t>
  </si>
  <si>
    <t>TG09</t>
  </si>
  <si>
    <t>Kent Group</t>
  </si>
  <si>
    <t>Banks Strait</t>
  </si>
  <si>
    <t>TB08</t>
  </si>
  <si>
    <t>TC01</t>
  </si>
  <si>
    <t>Cape Wickham</t>
  </si>
  <si>
    <t>TE01</t>
  </si>
  <si>
    <t>Cataraqui</t>
  </si>
  <si>
    <t>TF03</t>
  </si>
  <si>
    <t>Three Hummock</t>
  </si>
  <si>
    <t>TG03</t>
  </si>
  <si>
    <t>Boullanger</t>
  </si>
  <si>
    <t>B</t>
  </si>
  <si>
    <t>BS</t>
  </si>
  <si>
    <t>BR</t>
  </si>
  <si>
    <t>CR</t>
  </si>
  <si>
    <t>CQ CR</t>
  </si>
  <si>
    <t>EQ ER</t>
  </si>
  <si>
    <t>CQ</t>
  </si>
  <si>
    <t>CN</t>
  </si>
  <si>
    <t>EM</t>
  </si>
  <si>
    <t>DM</t>
  </si>
  <si>
    <t>DP</t>
  </si>
  <si>
    <t>EP</t>
  </si>
  <si>
    <t>CP</t>
  </si>
  <si>
    <t>EQ</t>
  </si>
  <si>
    <t>DQ</t>
  </si>
  <si>
    <t>mgrsMid</t>
  </si>
  <si>
    <t>DN</t>
  </si>
  <si>
    <t>EN</t>
  </si>
  <si>
    <t>ER</t>
  </si>
  <si>
    <t>ES</t>
  </si>
  <si>
    <t>FN</t>
  </si>
  <si>
    <t>FP</t>
  </si>
  <si>
    <t>FQ</t>
  </si>
  <si>
    <t>FR</t>
  </si>
  <si>
    <t>eastingMin</t>
  </si>
  <si>
    <t>eastingMax</t>
  </si>
  <si>
    <t>northingMin</t>
  </si>
  <si>
    <t>northingMax</t>
  </si>
  <si>
    <t>eastingMid</t>
  </si>
  <si>
    <t>DM DN</t>
  </si>
  <si>
    <t>DM  DN</t>
  </si>
  <si>
    <t>EM EN</t>
  </si>
  <si>
    <t>EQ8000019999</t>
  </si>
  <si>
    <t>FQ1999919999</t>
  </si>
  <si>
    <t>EP8000090000</t>
  </si>
  <si>
    <t>FP1999990000</t>
  </si>
  <si>
    <t>CQ8000019999</t>
  </si>
  <si>
    <t>DQ1999919999</t>
  </si>
  <si>
    <t>CP8000090000</t>
  </si>
  <si>
    <t>DP1999990000</t>
  </si>
  <si>
    <t>northingMid</t>
  </si>
  <si>
    <t>BQ 98000 79999</t>
  </si>
  <si>
    <t>CQ 39999 79999</t>
  </si>
  <si>
    <t>CQ 39999 50000</t>
  </si>
  <si>
    <t>BQ 98000 50000</t>
  </si>
  <si>
    <t>CQ 40000 91999</t>
  </si>
  <si>
    <t>CQ 69999 91999</t>
  </si>
  <si>
    <t>CQ 40000 50000</t>
  </si>
  <si>
    <t>CQ 69999 50000</t>
  </si>
  <si>
    <t>EN 48000 39999</t>
  </si>
  <si>
    <t>EN 51000 39999</t>
  </si>
  <si>
    <t>EN 51000 46999</t>
  </si>
  <si>
    <t>EN 60000 46999</t>
  </si>
  <si>
    <t>EN 60000 39999</t>
  </si>
  <si>
    <t>EN 48000 10000</t>
  </si>
  <si>
    <t>DM 20000 79999</t>
  </si>
  <si>
    <t>DM 99999 79999</t>
  </si>
  <si>
    <t>DM 20000 64000</t>
  </si>
  <si>
    <t>DM 60000 64000</t>
  </si>
  <si>
    <t>DM 60000 67000</t>
  </si>
  <si>
    <t>DM 99999 67000</t>
  </si>
  <si>
    <t>CQ 10000 19999</t>
  </si>
  <si>
    <t>CQ 39999 19999</t>
  </si>
  <si>
    <t>CP 39999 64000</t>
  </si>
  <si>
    <t>CP 30000 64000</t>
  </si>
  <si>
    <t>CP 30000 78000</t>
  </si>
  <si>
    <t>CP 10000 78000</t>
  </si>
  <si>
    <t>CN 79999 38000</t>
  </si>
  <si>
    <t>CN 76000 38000</t>
  </si>
  <si>
    <t>CN 76000 40000</t>
  </si>
  <si>
    <t>CN 67000 40000</t>
  </si>
  <si>
    <t>CN 67000 70000</t>
  </si>
  <si>
    <t>CN 54000 70000</t>
  </si>
  <si>
    <t>CN 54000 99999</t>
  </si>
  <si>
    <t>CN 79999 99999</t>
  </si>
  <si>
    <t xml:space="preserve">BQ CQ   </t>
  </si>
  <si>
    <t>EN 87999 39999</t>
  </si>
  <si>
    <t>EN 87999 10000</t>
  </si>
  <si>
    <t>DN6000009999</t>
  </si>
  <si>
    <t>DN9999909999</t>
  </si>
  <si>
    <t>DM6000080000</t>
  </si>
  <si>
    <t>DM9999980000</t>
  </si>
  <si>
    <t>ER8000039999</t>
  </si>
  <si>
    <t>FR1999939999</t>
  </si>
  <si>
    <t>ER8000010000</t>
  </si>
  <si>
    <t>FR1999910000</t>
  </si>
  <si>
    <t>EP4000089999</t>
  </si>
  <si>
    <t>EP7999989999</t>
  </si>
  <si>
    <t>EP4000060000</t>
  </si>
  <si>
    <t>EP7999960000</t>
  </si>
  <si>
    <t>ER8000099999</t>
  </si>
  <si>
    <t>FR1999999999</t>
  </si>
  <si>
    <t>ER8000070000</t>
  </si>
  <si>
    <t>FR1999970000</t>
  </si>
  <si>
    <t>ER4000009999</t>
  </si>
  <si>
    <t>ER7999909999</t>
  </si>
  <si>
    <t>EQ4000080000</t>
  </si>
  <si>
    <t>EQ7999980000</t>
  </si>
  <si>
    <t>DN2000009999</t>
  </si>
  <si>
    <t>DN5999909999</t>
  </si>
  <si>
    <t>DM2000080000</t>
  </si>
  <si>
    <t>DM5999980000</t>
  </si>
  <si>
    <t>EQ8000049999</t>
  </si>
  <si>
    <t>FQ1999949999</t>
  </si>
  <si>
    <t>EQ8000020000</t>
  </si>
  <si>
    <t>FQ1999920000</t>
  </si>
  <si>
    <t>EQ4000019999</t>
  </si>
  <si>
    <t>EQ7999919999</t>
  </si>
  <si>
    <t>EP4000090000</t>
  </si>
  <si>
    <t>EP7999990000</t>
  </si>
  <si>
    <t>ES4000029999</t>
  </si>
  <si>
    <t>ES7999929999</t>
  </si>
  <si>
    <t>ES4000000000</t>
  </si>
  <si>
    <t>ES7999900000</t>
  </si>
  <si>
    <t>EQ4000079999</t>
  </si>
  <si>
    <t>EQ7999979999</t>
  </si>
  <si>
    <t>EQ4000050000</t>
  </si>
  <si>
    <t>EQ7999950000</t>
  </si>
  <si>
    <t>CR0000009999</t>
  </si>
  <si>
    <t>CR3999909999</t>
  </si>
  <si>
    <t>CQ0000080000</t>
  </si>
  <si>
    <t>CQ3999980000</t>
  </si>
  <si>
    <t>DP6000089999</t>
  </si>
  <si>
    <t>DP9999989999</t>
  </si>
  <si>
    <t>DP6000060000</t>
  </si>
  <si>
    <t>DP9999960000</t>
  </si>
  <si>
    <t>BS2000029999</t>
  </si>
  <si>
    <t>BS5999929999</t>
  </si>
  <si>
    <t>BS2000000000</t>
  </si>
  <si>
    <t>BS5999900000</t>
  </si>
  <si>
    <t>BR2000069999</t>
  </si>
  <si>
    <t>BR5999969999</t>
  </si>
  <si>
    <t>BR2000040000</t>
  </si>
  <si>
    <t>BR5999940000</t>
  </si>
  <si>
    <t>EN0000039999</t>
  </si>
  <si>
    <t>EN3999939999</t>
  </si>
  <si>
    <t>EN0000010000</t>
  </si>
  <si>
    <t>EN3999910000</t>
  </si>
  <si>
    <t>DQ6000079999</t>
  </si>
  <si>
    <t>DQ9999979999</t>
  </si>
  <si>
    <t>DQ6000050000</t>
  </si>
  <si>
    <t>DQ9999950000</t>
  </si>
  <si>
    <t>DQ6000049999</t>
  </si>
  <si>
    <t>DQ9999949999</t>
  </si>
  <si>
    <t>DQ6000020000</t>
  </si>
  <si>
    <t>DQ9999920000</t>
  </si>
  <si>
    <t>DN2000099999</t>
  </si>
  <si>
    <t>DN5999999999</t>
  </si>
  <si>
    <t>DN2000070000</t>
  </si>
  <si>
    <t>DN5999970000</t>
  </si>
  <si>
    <t>EP0000059999</t>
  </si>
  <si>
    <t>EP3999959999</t>
  </si>
  <si>
    <t>EP0000030000</t>
  </si>
  <si>
    <t>EP3999930000</t>
  </si>
  <si>
    <t>CN8000069999</t>
  </si>
  <si>
    <t>DN1999969999</t>
  </si>
  <si>
    <t>CN8000040000</t>
  </si>
  <si>
    <t>DN1999940000</t>
  </si>
  <si>
    <t>EP8000089999</t>
  </si>
  <si>
    <t>FP1999989999</t>
  </si>
  <si>
    <t>EP8000060000</t>
  </si>
  <si>
    <t>FP1999960000</t>
  </si>
  <si>
    <t>CP8000059999</t>
  </si>
  <si>
    <t>DP1999959999</t>
  </si>
  <si>
    <t>CP8000030000</t>
  </si>
  <si>
    <t>DP1999930000</t>
  </si>
  <si>
    <t>CQ8000049999</t>
  </si>
  <si>
    <t>DQ1999949999</t>
  </si>
  <si>
    <t>CQ8000020000</t>
  </si>
  <si>
    <t>DQ1999920000</t>
  </si>
  <si>
    <t>DQ2000019999</t>
  </si>
  <si>
    <t>DQ5999919999</t>
  </si>
  <si>
    <t>DP2000090000</t>
  </si>
  <si>
    <t>DP5999990000</t>
  </si>
  <si>
    <t>EN4000069999</t>
  </si>
  <si>
    <t>EN7999969999</t>
  </si>
  <si>
    <t>EN4000040000</t>
  </si>
  <si>
    <t>EN7999940000</t>
  </si>
  <si>
    <t>CP8000029999</t>
  </si>
  <si>
    <t>DP1999929999</t>
  </si>
  <si>
    <t>CP8000000000</t>
  </si>
  <si>
    <t>DP1999900000</t>
  </si>
  <si>
    <t>EP8000029999</t>
  </si>
  <si>
    <t>FP1999929999</t>
  </si>
  <si>
    <t>EP8000000000</t>
  </si>
  <si>
    <t>FP1999900000</t>
  </si>
  <si>
    <t>EN0000099999</t>
  </si>
  <si>
    <t>EN3999999999</t>
  </si>
  <si>
    <t>EN0000070000</t>
  </si>
  <si>
    <t>EN3999970000</t>
  </si>
  <si>
    <t>DN6000039999</t>
  </si>
  <si>
    <t>DN9999939999</t>
  </si>
  <si>
    <t>DN6000010000</t>
  </si>
  <si>
    <t>DN9999910000</t>
  </si>
  <si>
    <t>EP0000089999</t>
  </si>
  <si>
    <t>EP3999989999</t>
  </si>
  <si>
    <t>EP0000060000</t>
  </si>
  <si>
    <t>EP3999960000</t>
  </si>
  <si>
    <t>DP2000089999</t>
  </si>
  <si>
    <t>DP5999989999</t>
  </si>
  <si>
    <t>DP2000060000</t>
  </si>
  <si>
    <t>DP5999960000</t>
  </si>
  <si>
    <t>ES0000059999</t>
  </si>
  <si>
    <t>ES3999959999</t>
  </si>
  <si>
    <t>ES0000030000</t>
  </si>
  <si>
    <t>ES3999930000</t>
  </si>
  <si>
    <t>DP2000029999</t>
  </si>
  <si>
    <t>DP5999929999</t>
  </si>
  <si>
    <t>DP2000000000</t>
  </si>
  <si>
    <t>DP5999900000</t>
  </si>
  <si>
    <t>EP4000059999</t>
  </si>
  <si>
    <t>EP7999959999</t>
  </si>
  <si>
    <t>EP4000030000</t>
  </si>
  <si>
    <t>EP7999930000</t>
  </si>
  <si>
    <t>DN2000069999</t>
  </si>
  <si>
    <t>DN5999969999</t>
  </si>
  <si>
    <t>DN2000040000</t>
  </si>
  <si>
    <t>DN5999940000</t>
  </si>
  <si>
    <t>CP4000089999</t>
  </si>
  <si>
    <t>CP7999989999</t>
  </si>
  <si>
    <t>CP4000060000</t>
  </si>
  <si>
    <t>CP7999960000</t>
  </si>
  <si>
    <t>EQ4000049999</t>
  </si>
  <si>
    <t>EQ7999949999</t>
  </si>
  <si>
    <t>EQ4000020000</t>
  </si>
  <si>
    <t>EQ7999920000</t>
  </si>
  <si>
    <t>CP4000029999</t>
  </si>
  <si>
    <t>CP7999929999</t>
  </si>
  <si>
    <t>CP4000000000</t>
  </si>
  <si>
    <t>CP7999900000</t>
  </si>
  <si>
    <t>EN8000099999</t>
  </si>
  <si>
    <t>FN1999999999</t>
  </si>
  <si>
    <t>EN8000070000</t>
  </si>
  <si>
    <t>FN1999970000</t>
  </si>
  <si>
    <t>DN6000099999</t>
  </si>
  <si>
    <t>DN9999999999</t>
  </si>
  <si>
    <t>DN6000070000</t>
  </si>
  <si>
    <t>DN9999970000</t>
  </si>
  <si>
    <t>DQ6000019999</t>
  </si>
  <si>
    <t>DQ9999919999</t>
  </si>
  <si>
    <t>DP6000090000</t>
  </si>
  <si>
    <t>DP9999990000</t>
  </si>
  <si>
    <t>EP8000059999</t>
  </si>
  <si>
    <t>FP1999959999</t>
  </si>
  <si>
    <t>EP8000030000</t>
  </si>
  <si>
    <t>FP1999930000</t>
  </si>
  <si>
    <t>EQ8000079999</t>
  </si>
  <si>
    <t>FQ1999979999</t>
  </si>
  <si>
    <t>EQ8000050000</t>
  </si>
  <si>
    <t>FQ1999950000</t>
  </si>
  <si>
    <t>CP8000089999</t>
  </si>
  <si>
    <t>DP1999989999</t>
  </si>
  <si>
    <t>CP8000060000</t>
  </si>
  <si>
    <t>DP1999960000</t>
  </si>
  <si>
    <t>EQ0000079999</t>
  </si>
  <si>
    <t>EQ3999979999</t>
  </si>
  <si>
    <t>EQ0000050000</t>
  </si>
  <si>
    <t>EQ3999950000</t>
  </si>
  <si>
    <t>DQ2000049999</t>
  </si>
  <si>
    <t>DQ5999949999</t>
  </si>
  <si>
    <t>DQ2000020000</t>
  </si>
  <si>
    <t>DQ5999920000</t>
  </si>
  <si>
    <t>DP6000059999</t>
  </si>
  <si>
    <t>DP9999959999</t>
  </si>
  <si>
    <t>DP6000030000</t>
  </si>
  <si>
    <t>DP9999930000</t>
  </si>
  <si>
    <t>EQ0000019999</t>
  </si>
  <si>
    <t>EQ3999919999</t>
  </si>
  <si>
    <t>EP0000090000</t>
  </si>
  <si>
    <t>EP3999990000</t>
  </si>
  <si>
    <t>ER4000099999</t>
  </si>
  <si>
    <t>ER7999999999</t>
  </si>
  <si>
    <t>ER4000070000</t>
  </si>
  <si>
    <t>ER7999970000</t>
  </si>
  <si>
    <t>CN8000099999</t>
  </si>
  <si>
    <t>DN1999999999</t>
  </si>
  <si>
    <t>CN8000070000</t>
  </si>
  <si>
    <t>DN1999970000</t>
  </si>
  <si>
    <t>EN4000099999</t>
  </si>
  <si>
    <t>EN7999999999</t>
  </si>
  <si>
    <t>EN4000070000</t>
  </si>
  <si>
    <t>EN7999970000</t>
  </si>
  <si>
    <t>CQ4000049999</t>
  </si>
  <si>
    <t>CQ7999949999</t>
  </si>
  <si>
    <t>CQ4000020000</t>
  </si>
  <si>
    <t>CQ7999920000</t>
  </si>
  <si>
    <t>CQ0000049999</t>
  </si>
  <si>
    <t>CQ3999949999</t>
  </si>
  <si>
    <t>CQ0000020000</t>
  </si>
  <si>
    <t>CQ3999920000</t>
  </si>
  <si>
    <t>EQ0000049999</t>
  </si>
  <si>
    <t>EQ3999949999</t>
  </si>
  <si>
    <t>EQ0000020000</t>
  </si>
  <si>
    <t>EQ3999920000</t>
  </si>
  <si>
    <t>DN6000069999</t>
  </si>
  <si>
    <t>DN9999969999</t>
  </si>
  <si>
    <t>DN6000040000</t>
  </si>
  <si>
    <t>DN9999940000</t>
  </si>
  <si>
    <t>EN0000009999</t>
  </si>
  <si>
    <t>EN3999909999</t>
  </si>
  <si>
    <t>EM0000080000</t>
  </si>
  <si>
    <t>EM3999980000</t>
  </si>
  <si>
    <t>DP2000059999</t>
  </si>
  <si>
    <t>DP5999959999</t>
  </si>
  <si>
    <t>DP2000030000</t>
  </si>
  <si>
    <t>DP5999930000</t>
  </si>
  <si>
    <t>EP4000029999</t>
  </si>
  <si>
    <t>EP7999929999</t>
  </si>
  <si>
    <t>EP4000000000</t>
  </si>
  <si>
    <t>EP7999900000</t>
  </si>
  <si>
    <t>DQ1999979999</t>
  </si>
  <si>
    <t>DQ1999950000</t>
  </si>
  <si>
    <t>CR0000039999</t>
  </si>
  <si>
    <t>CR3999939999</t>
  </si>
  <si>
    <t>CR0000010000</t>
  </si>
  <si>
    <t>CR3999910000</t>
  </si>
  <si>
    <t>EP0000029999</t>
  </si>
  <si>
    <t>EP3999929999</t>
  </si>
  <si>
    <t>EP0000000000</t>
  </si>
  <si>
    <t>EP3999900000</t>
  </si>
  <si>
    <t>CP4000059999</t>
  </si>
  <si>
    <t>CP7999959999</t>
  </si>
  <si>
    <t>CP4000030000</t>
  </si>
  <si>
    <t>CP7999930000</t>
  </si>
  <si>
    <t>DP6000029999</t>
  </si>
  <si>
    <t>DP9999929999</t>
  </si>
  <si>
    <t>DP6000000000</t>
  </si>
  <si>
    <t>DP9999900000</t>
  </si>
  <si>
    <t>EN0000069999</t>
  </si>
  <si>
    <t>EN3999969999</t>
  </si>
  <si>
    <t>EN0000040000</t>
  </si>
  <si>
    <t>EN3999940000</t>
  </si>
  <si>
    <t>DN2000039999</t>
  </si>
  <si>
    <t>DN5999939999</t>
  </si>
  <si>
    <t>DN2000010000</t>
  </si>
  <si>
    <t>DN5999910000</t>
  </si>
  <si>
    <t>CQ4000019999</t>
  </si>
  <si>
    <t>CQ7999919999</t>
  </si>
  <si>
    <t>CP4000090000</t>
  </si>
  <si>
    <t>CP7999990000</t>
  </si>
  <si>
    <t>p1</t>
  </si>
  <si>
    <t>p2</t>
  </si>
  <si>
    <t>p3</t>
  </si>
  <si>
    <t>p4</t>
  </si>
  <si>
    <t>p5</t>
  </si>
  <si>
    <t>p6</t>
  </si>
  <si>
    <t>p7</t>
  </si>
  <si>
    <t>p8</t>
  </si>
  <si>
    <t>DN 19999 39999</t>
  </si>
  <si>
    <t>EN 60000 40000</t>
  </si>
  <si>
    <t>EN 60000 47000</t>
  </si>
  <si>
    <t>EN 51000 47000</t>
  </si>
  <si>
    <t>EN 51000 40000</t>
  </si>
  <si>
    <t>CM 90000 80000</t>
  </si>
  <si>
    <t>CN 84000 39999</t>
  </si>
  <si>
    <t>DM 19999 85000</t>
  </si>
  <si>
    <t>DM 11000 85000</t>
  </si>
  <si>
    <t>DM 11000 98000</t>
  </si>
  <si>
    <t>CM 90000 98000</t>
  </si>
  <si>
    <t>CN 90000 32000</t>
  </si>
  <si>
    <t>CN 84000 32000</t>
  </si>
  <si>
    <t>CQ7000079999</t>
  </si>
  <si>
    <t>CQ7000050000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</si>
</sst>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8" fillId="4" borderId="0" xfId="8"/>
    <xf numFmtId="0" fontId="7" fillId="3" borderId="0" xfId="7"/>
    <xf numFmtId="0" fontId="6" fillId="2" borderId="0" xfId="6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workbookViewId="0">
      <selection activeCell="J1" sqref="J1:O1"/>
    </sheetView>
  </sheetViews>
  <sheetFormatPr baseColWidth="10" defaultRowHeight="16" x14ac:dyDescent="0.2"/>
  <cols>
    <col min="2" max="2" width="17" bestFit="1" customWidth="1"/>
  </cols>
  <sheetData>
    <row r="1" spans="1:15" x14ac:dyDescent="0.2">
      <c r="A1" t="str">
        <f>Working!A1</f>
        <v>Series</v>
      </c>
      <c r="B1" t="str">
        <f>Working!B1</f>
        <v>Name</v>
      </c>
      <c r="C1" t="str">
        <f>Working!C1</f>
        <v>Parent</v>
      </c>
      <c r="D1" t="str">
        <f>Working!D1</f>
        <v>MGRS</v>
      </c>
      <c r="E1" t="str">
        <f>Working!E1</f>
        <v>eastingMin</v>
      </c>
      <c r="F1" t="str">
        <f>Working!F1</f>
        <v>eastingMax</v>
      </c>
      <c r="G1" t="str">
        <f>Working!G1</f>
        <v>northingMin</v>
      </c>
      <c r="H1" t="str">
        <f>Working!H1</f>
        <v>northingMax</v>
      </c>
      <c r="I1" t="str">
        <f>Working!I1</f>
        <v>mgrsMid</v>
      </c>
      <c r="J1" t="str">
        <f>Working!J1</f>
        <v>eastingMid</v>
      </c>
      <c r="K1" t="str">
        <f>Working!K1</f>
        <v>northingMid</v>
      </c>
      <c r="L1" t="e">
        <f>Working!#REF!</f>
        <v>#REF!</v>
      </c>
      <c r="M1" t="str">
        <f>Working!L1</f>
        <v>p1</v>
      </c>
      <c r="N1" t="str">
        <f>Working!M1</f>
        <v>p2</v>
      </c>
      <c r="O1" t="str">
        <f>Working!N1</f>
        <v>p3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6"/>
  <sheetViews>
    <sheetView tabSelected="1" topLeftCell="A42" workbookViewId="0">
      <selection activeCell="O68" sqref="O68"/>
    </sheetView>
  </sheetViews>
  <sheetFormatPr baseColWidth="10" defaultRowHeight="16" x14ac:dyDescent="0.2"/>
  <cols>
    <col min="2" max="2" width="17" bestFit="1" customWidth="1"/>
    <col min="5" max="5" width="12.83203125" bestFit="1" customWidth="1"/>
    <col min="6" max="6" width="13.1640625" bestFit="1" customWidth="1"/>
    <col min="7" max="7" width="13.6640625" bestFit="1" customWidth="1"/>
    <col min="10" max="10" width="12.83203125" bestFit="1" customWidth="1"/>
    <col min="11" max="11" width="12.1640625" bestFit="1" customWidth="1"/>
    <col min="12" max="13" width="22.33203125" bestFit="1" customWidth="1"/>
    <col min="14" max="15" width="23.33203125" bestFit="1" customWidth="1"/>
    <col min="16" max="19" width="14.5" bestFit="1" customWidth="1"/>
    <col min="20" max="27" width="14.6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230</v>
      </c>
      <c r="F1" t="s">
        <v>231</v>
      </c>
      <c r="G1" t="s">
        <v>232</v>
      </c>
      <c r="H1" t="s">
        <v>233</v>
      </c>
      <c r="I1" t="s">
        <v>221</v>
      </c>
      <c r="J1" t="s">
        <v>234</v>
      </c>
      <c r="K1" t="s">
        <v>246</v>
      </c>
      <c r="L1" t="s">
        <v>546</v>
      </c>
      <c r="M1" t="s">
        <v>547</v>
      </c>
      <c r="N1" t="s">
        <v>548</v>
      </c>
      <c r="O1" t="s">
        <v>549</v>
      </c>
      <c r="P1" t="s">
        <v>550</v>
      </c>
      <c r="Q1" t="s">
        <v>551</v>
      </c>
      <c r="R1" t="s">
        <v>552</v>
      </c>
      <c r="S1" t="s">
        <v>553</v>
      </c>
    </row>
    <row r="2" spans="1:19" x14ac:dyDescent="0.2">
      <c r="A2" t="s">
        <v>87</v>
      </c>
      <c r="B2" t="s">
        <v>88</v>
      </c>
      <c r="C2">
        <v>8211</v>
      </c>
      <c r="D2" t="s">
        <v>236</v>
      </c>
      <c r="E2">
        <v>60000</v>
      </c>
      <c r="F2">
        <v>99999</v>
      </c>
      <c r="G2">
        <v>80000</v>
      </c>
      <c r="H2">
        <v>9999</v>
      </c>
      <c r="I2" t="s">
        <v>215</v>
      </c>
      <c r="J2" s="5">
        <v>80000</v>
      </c>
      <c r="K2">
        <v>95000</v>
      </c>
      <c r="L2" t="s">
        <v>284</v>
      </c>
      <c r="M2" t="s">
        <v>285</v>
      </c>
      <c r="N2" t="s">
        <v>287</v>
      </c>
      <c r="O2" t="s">
        <v>286</v>
      </c>
    </row>
    <row r="3" spans="1:19" x14ac:dyDescent="0.2">
      <c r="A3" t="s">
        <v>138</v>
      </c>
      <c r="B3" s="2" t="s">
        <v>139</v>
      </c>
      <c r="C3">
        <v>7916</v>
      </c>
      <c r="D3" t="s">
        <v>137</v>
      </c>
      <c r="E3">
        <v>80000</v>
      </c>
      <c r="F3">
        <v>19999</v>
      </c>
      <c r="G3">
        <v>10000</v>
      </c>
      <c r="H3">
        <v>39999</v>
      </c>
      <c r="I3" t="s">
        <v>229</v>
      </c>
      <c r="J3" s="5">
        <v>0</v>
      </c>
      <c r="K3">
        <v>25000</v>
      </c>
      <c r="L3" t="s">
        <v>288</v>
      </c>
      <c r="M3" t="s">
        <v>289</v>
      </c>
      <c r="N3" t="s">
        <v>291</v>
      </c>
      <c r="O3" t="s">
        <v>290</v>
      </c>
    </row>
    <row r="4" spans="1:19" x14ac:dyDescent="0.2">
      <c r="A4" t="s">
        <v>123</v>
      </c>
      <c r="B4" t="s">
        <v>124</v>
      </c>
      <c r="C4">
        <v>8214</v>
      </c>
      <c r="D4" t="s">
        <v>97</v>
      </c>
      <c r="E4">
        <v>40000</v>
      </c>
      <c r="F4">
        <v>79999</v>
      </c>
      <c r="G4">
        <v>60000</v>
      </c>
      <c r="H4">
        <v>89999</v>
      </c>
      <c r="I4" t="s">
        <v>217</v>
      </c>
      <c r="J4" s="5">
        <v>60000</v>
      </c>
      <c r="K4">
        <v>75000</v>
      </c>
      <c r="L4" t="s">
        <v>292</v>
      </c>
      <c r="M4" t="s">
        <v>293</v>
      </c>
      <c r="N4" t="s">
        <v>295</v>
      </c>
      <c r="O4" t="s">
        <v>294</v>
      </c>
    </row>
    <row r="5" spans="1:19" x14ac:dyDescent="0.2">
      <c r="A5" t="s">
        <v>135</v>
      </c>
      <c r="B5" s="2" t="s">
        <v>136</v>
      </c>
      <c r="C5">
        <v>8517</v>
      </c>
      <c r="D5" t="s">
        <v>137</v>
      </c>
      <c r="E5">
        <v>80000</v>
      </c>
      <c r="F5">
        <v>19999</v>
      </c>
      <c r="G5">
        <v>70000</v>
      </c>
      <c r="H5">
        <v>99999</v>
      </c>
      <c r="I5" t="s">
        <v>229</v>
      </c>
      <c r="J5" s="5">
        <v>0</v>
      </c>
      <c r="K5">
        <v>85000</v>
      </c>
      <c r="L5" t="s">
        <v>296</v>
      </c>
      <c r="M5" t="s">
        <v>297</v>
      </c>
      <c r="N5" t="s">
        <v>299</v>
      </c>
      <c r="O5" t="s">
        <v>298</v>
      </c>
    </row>
    <row r="6" spans="1:19" x14ac:dyDescent="0.2">
      <c r="A6" t="s">
        <v>194</v>
      </c>
      <c r="B6" s="2" t="s">
        <v>196</v>
      </c>
      <c r="D6" t="s">
        <v>211</v>
      </c>
      <c r="E6">
        <v>40000</v>
      </c>
      <c r="F6">
        <v>79999</v>
      </c>
      <c r="G6">
        <v>80000</v>
      </c>
      <c r="H6">
        <v>9999</v>
      </c>
      <c r="I6" t="s">
        <v>219</v>
      </c>
      <c r="J6" s="5">
        <v>60000</v>
      </c>
      <c r="K6">
        <v>95000</v>
      </c>
      <c r="L6" t="s">
        <v>300</v>
      </c>
      <c r="M6" t="s">
        <v>301</v>
      </c>
      <c r="N6" t="s">
        <v>303</v>
      </c>
      <c r="O6" t="s">
        <v>302</v>
      </c>
    </row>
    <row r="7" spans="1:19" x14ac:dyDescent="0.2">
      <c r="A7" t="s">
        <v>66</v>
      </c>
      <c r="B7" t="s">
        <v>67</v>
      </c>
      <c r="C7">
        <v>8011</v>
      </c>
      <c r="D7" t="s">
        <v>235</v>
      </c>
      <c r="E7">
        <v>20000</v>
      </c>
      <c r="F7">
        <v>59999</v>
      </c>
      <c r="G7">
        <v>80000</v>
      </c>
      <c r="H7">
        <v>9999</v>
      </c>
      <c r="I7" t="s">
        <v>215</v>
      </c>
      <c r="J7" s="5">
        <v>40000</v>
      </c>
      <c r="K7">
        <v>95000</v>
      </c>
      <c r="L7" t="s">
        <v>304</v>
      </c>
      <c r="M7" t="s">
        <v>305</v>
      </c>
      <c r="N7" t="s">
        <v>307</v>
      </c>
      <c r="O7" t="s">
        <v>306</v>
      </c>
    </row>
    <row r="8" spans="1:19" x14ac:dyDescent="0.2">
      <c r="A8" t="s">
        <v>143</v>
      </c>
      <c r="B8" t="s">
        <v>144</v>
      </c>
      <c r="C8">
        <v>8514</v>
      </c>
      <c r="D8" t="s">
        <v>142</v>
      </c>
      <c r="E8">
        <v>80000</v>
      </c>
      <c r="F8">
        <v>19999</v>
      </c>
      <c r="G8">
        <v>20000</v>
      </c>
      <c r="H8">
        <v>49999</v>
      </c>
      <c r="I8" t="s">
        <v>228</v>
      </c>
      <c r="J8" s="5">
        <v>0</v>
      </c>
      <c r="K8">
        <v>35000</v>
      </c>
      <c r="L8" t="s">
        <v>308</v>
      </c>
      <c r="M8" t="s">
        <v>309</v>
      </c>
      <c r="N8" t="s">
        <v>311</v>
      </c>
      <c r="O8" t="s">
        <v>310</v>
      </c>
    </row>
    <row r="9" spans="1:19" x14ac:dyDescent="0.2">
      <c r="A9" t="s">
        <v>121</v>
      </c>
      <c r="B9" t="s">
        <v>122</v>
      </c>
      <c r="C9">
        <v>8414</v>
      </c>
      <c r="D9" t="s">
        <v>94</v>
      </c>
      <c r="E9">
        <v>40000</v>
      </c>
      <c r="F9">
        <v>79999</v>
      </c>
      <c r="G9">
        <v>90000</v>
      </c>
      <c r="H9">
        <v>19999</v>
      </c>
      <c r="I9" t="s">
        <v>219</v>
      </c>
      <c r="J9" s="5">
        <v>60000</v>
      </c>
      <c r="K9">
        <v>5000</v>
      </c>
      <c r="L9" t="s">
        <v>312</v>
      </c>
      <c r="M9" t="s">
        <v>313</v>
      </c>
      <c r="N9" t="s">
        <v>315</v>
      </c>
      <c r="O9" t="s">
        <v>314</v>
      </c>
    </row>
    <row r="10" spans="1:19" x14ac:dyDescent="0.2">
      <c r="A10" t="s">
        <v>28</v>
      </c>
      <c r="B10" t="s">
        <v>29</v>
      </c>
      <c r="C10">
        <v>7914</v>
      </c>
      <c r="D10" t="s">
        <v>30</v>
      </c>
      <c r="E10">
        <v>80000</v>
      </c>
      <c r="F10">
        <v>19999</v>
      </c>
      <c r="G10">
        <v>90000</v>
      </c>
      <c r="H10">
        <v>19999</v>
      </c>
      <c r="I10" t="s">
        <v>220</v>
      </c>
      <c r="J10" s="5">
        <v>0</v>
      </c>
      <c r="K10">
        <v>5000</v>
      </c>
      <c r="L10" t="s">
        <v>242</v>
      </c>
      <c r="M10" t="s">
        <v>243</v>
      </c>
      <c r="N10" t="s">
        <v>245</v>
      </c>
      <c r="O10" t="s">
        <v>244</v>
      </c>
    </row>
    <row r="11" spans="1:19" x14ac:dyDescent="0.2">
      <c r="A11" t="s">
        <v>111</v>
      </c>
      <c r="B11" s="2" t="s">
        <v>112</v>
      </c>
      <c r="C11">
        <v>7816</v>
      </c>
      <c r="D11" t="s">
        <v>113</v>
      </c>
      <c r="E11">
        <v>40000</v>
      </c>
      <c r="F11">
        <v>79999</v>
      </c>
      <c r="G11">
        <v>0</v>
      </c>
      <c r="H11">
        <v>29999</v>
      </c>
      <c r="I11" t="s">
        <v>225</v>
      </c>
      <c r="J11" s="5">
        <v>60000</v>
      </c>
      <c r="K11">
        <v>15000</v>
      </c>
      <c r="L11" t="s">
        <v>316</v>
      </c>
      <c r="M11" t="s">
        <v>317</v>
      </c>
      <c r="N11" t="s">
        <v>319</v>
      </c>
      <c r="O11" t="s">
        <v>318</v>
      </c>
    </row>
    <row r="12" spans="1:19" x14ac:dyDescent="0.2">
      <c r="A12" t="s">
        <v>117</v>
      </c>
      <c r="B12" s="3" t="s">
        <v>118</v>
      </c>
      <c r="C12">
        <v>8517</v>
      </c>
      <c r="D12" t="s">
        <v>91</v>
      </c>
      <c r="E12">
        <v>40000</v>
      </c>
      <c r="F12">
        <v>79999</v>
      </c>
      <c r="G12">
        <v>50000</v>
      </c>
      <c r="H12">
        <v>79999</v>
      </c>
      <c r="I12" t="s">
        <v>219</v>
      </c>
      <c r="J12" s="5">
        <v>60000</v>
      </c>
      <c r="K12">
        <v>65000</v>
      </c>
      <c r="L12" t="s">
        <v>320</v>
      </c>
      <c r="M12" t="s">
        <v>321</v>
      </c>
      <c r="N12" t="s">
        <v>323</v>
      </c>
      <c r="O12" t="s">
        <v>322</v>
      </c>
    </row>
    <row r="13" spans="1:19" x14ac:dyDescent="0.2">
      <c r="A13" t="s">
        <v>204</v>
      </c>
      <c r="B13" t="s">
        <v>205</v>
      </c>
      <c r="D13" t="s">
        <v>210</v>
      </c>
      <c r="E13">
        <v>0</v>
      </c>
      <c r="F13">
        <v>39999</v>
      </c>
      <c r="G13">
        <v>80000</v>
      </c>
      <c r="H13">
        <v>9999</v>
      </c>
      <c r="I13" t="s">
        <v>212</v>
      </c>
      <c r="J13" s="5">
        <v>20000</v>
      </c>
      <c r="K13">
        <v>95000</v>
      </c>
      <c r="L13" t="s">
        <v>324</v>
      </c>
      <c r="M13" t="s">
        <v>325</v>
      </c>
      <c r="N13" t="s">
        <v>327</v>
      </c>
      <c r="O13" t="s">
        <v>326</v>
      </c>
    </row>
    <row r="14" spans="1:19" x14ac:dyDescent="0.2">
      <c r="A14" t="s">
        <v>75</v>
      </c>
      <c r="B14" t="s">
        <v>76</v>
      </c>
      <c r="C14">
        <v>8213</v>
      </c>
      <c r="D14" t="s">
        <v>54</v>
      </c>
      <c r="E14">
        <v>60000</v>
      </c>
      <c r="F14">
        <v>99999</v>
      </c>
      <c r="G14">
        <v>60000</v>
      </c>
      <c r="H14">
        <v>89999</v>
      </c>
      <c r="I14" t="s">
        <v>216</v>
      </c>
      <c r="J14" s="5">
        <v>80000</v>
      </c>
      <c r="K14">
        <v>75000</v>
      </c>
      <c r="L14" t="s">
        <v>328</v>
      </c>
      <c r="M14" t="s">
        <v>329</v>
      </c>
      <c r="N14" t="s">
        <v>331</v>
      </c>
      <c r="O14" t="s">
        <v>330</v>
      </c>
    </row>
    <row r="15" spans="1:19" x14ac:dyDescent="0.2">
      <c r="A15" t="s">
        <v>198</v>
      </c>
      <c r="B15" s="2" t="s">
        <v>199</v>
      </c>
      <c r="D15" t="s">
        <v>207</v>
      </c>
      <c r="E15">
        <v>20000</v>
      </c>
      <c r="F15">
        <v>59999</v>
      </c>
      <c r="G15">
        <v>0</v>
      </c>
      <c r="H15">
        <v>29999</v>
      </c>
      <c r="I15" t="s">
        <v>207</v>
      </c>
      <c r="J15" s="5">
        <v>40000</v>
      </c>
      <c r="K15">
        <v>15000</v>
      </c>
      <c r="L15" t="s">
        <v>332</v>
      </c>
      <c r="M15" t="s">
        <v>333</v>
      </c>
      <c r="N15" t="s">
        <v>335</v>
      </c>
      <c r="O15" t="s">
        <v>334</v>
      </c>
    </row>
    <row r="16" spans="1:19" x14ac:dyDescent="0.2">
      <c r="A16" t="s">
        <v>200</v>
      </c>
      <c r="B16" s="2" t="s">
        <v>201</v>
      </c>
      <c r="D16" t="s">
        <v>208</v>
      </c>
      <c r="E16">
        <v>20000</v>
      </c>
      <c r="F16">
        <v>59999</v>
      </c>
      <c r="G16">
        <v>40000</v>
      </c>
      <c r="H16">
        <v>69999</v>
      </c>
      <c r="I16" t="s">
        <v>208</v>
      </c>
      <c r="J16" s="5">
        <v>40000</v>
      </c>
      <c r="K16">
        <v>55000</v>
      </c>
      <c r="L16" t="s">
        <v>336</v>
      </c>
      <c r="M16" t="s">
        <v>337</v>
      </c>
      <c r="N16" t="s">
        <v>339</v>
      </c>
      <c r="O16" t="s">
        <v>338</v>
      </c>
    </row>
    <row r="17" spans="1:19" x14ac:dyDescent="0.2">
      <c r="A17" t="s">
        <v>107</v>
      </c>
      <c r="B17" t="s">
        <v>108</v>
      </c>
      <c r="C17">
        <v>8311</v>
      </c>
      <c r="D17" t="s">
        <v>104</v>
      </c>
      <c r="E17">
        <v>0</v>
      </c>
      <c r="F17">
        <v>39999</v>
      </c>
      <c r="G17">
        <v>10000</v>
      </c>
      <c r="H17">
        <v>39999</v>
      </c>
      <c r="I17" t="s">
        <v>223</v>
      </c>
      <c r="J17" s="5">
        <v>20000</v>
      </c>
      <c r="K17">
        <v>25000</v>
      </c>
      <c r="L17" t="s">
        <v>340</v>
      </c>
      <c r="M17" t="s">
        <v>341</v>
      </c>
      <c r="N17" t="s">
        <v>343</v>
      </c>
      <c r="O17" t="s">
        <v>342</v>
      </c>
    </row>
    <row r="18" spans="1:19" x14ac:dyDescent="0.2">
      <c r="A18" t="s">
        <v>190</v>
      </c>
      <c r="B18" t="s">
        <v>191</v>
      </c>
      <c r="D18" t="s">
        <v>48</v>
      </c>
      <c r="E18">
        <v>60000</v>
      </c>
      <c r="F18">
        <v>99999</v>
      </c>
      <c r="G18">
        <v>50000</v>
      </c>
      <c r="H18">
        <v>79999</v>
      </c>
      <c r="I18" t="s">
        <v>220</v>
      </c>
      <c r="J18" s="5">
        <v>80000</v>
      </c>
      <c r="K18">
        <v>65000</v>
      </c>
      <c r="L18" t="s">
        <v>344</v>
      </c>
      <c r="M18" t="s">
        <v>345</v>
      </c>
      <c r="N18" t="s">
        <v>347</v>
      </c>
      <c r="O18" t="s">
        <v>346</v>
      </c>
    </row>
    <row r="19" spans="1:19" x14ac:dyDescent="0.2">
      <c r="A19" t="s">
        <v>71</v>
      </c>
      <c r="B19" t="s">
        <v>72</v>
      </c>
      <c r="C19">
        <v>8114</v>
      </c>
      <c r="D19" t="s">
        <v>48</v>
      </c>
      <c r="E19">
        <v>60000</v>
      </c>
      <c r="F19">
        <v>99999</v>
      </c>
      <c r="G19">
        <v>20000</v>
      </c>
      <c r="H19">
        <v>49999</v>
      </c>
      <c r="I19" t="s">
        <v>220</v>
      </c>
      <c r="J19" s="5">
        <v>80000</v>
      </c>
      <c r="K19">
        <v>35000</v>
      </c>
      <c r="L19" t="s">
        <v>348</v>
      </c>
      <c r="M19" t="s">
        <v>349</v>
      </c>
      <c r="N19" t="s">
        <v>351</v>
      </c>
      <c r="O19" t="s">
        <v>350</v>
      </c>
    </row>
    <row r="20" spans="1:19" x14ac:dyDescent="0.2">
      <c r="A20" t="s">
        <v>59</v>
      </c>
      <c r="B20" t="s">
        <v>60</v>
      </c>
      <c r="C20">
        <v>8313</v>
      </c>
      <c r="D20" t="s">
        <v>61</v>
      </c>
      <c r="E20">
        <v>20000</v>
      </c>
      <c r="F20">
        <v>59999</v>
      </c>
      <c r="G20">
        <v>70000</v>
      </c>
      <c r="H20">
        <v>99999</v>
      </c>
      <c r="I20" t="s">
        <v>222</v>
      </c>
      <c r="J20" s="5">
        <v>40000</v>
      </c>
      <c r="K20">
        <v>85000</v>
      </c>
      <c r="L20" t="s">
        <v>352</v>
      </c>
      <c r="M20" t="s">
        <v>353</v>
      </c>
      <c r="N20" t="s">
        <v>355</v>
      </c>
      <c r="O20" t="s">
        <v>354</v>
      </c>
    </row>
    <row r="21" spans="1:19" x14ac:dyDescent="0.2">
      <c r="A21" t="s">
        <v>98</v>
      </c>
      <c r="B21" t="s">
        <v>99</v>
      </c>
      <c r="C21">
        <v>8311</v>
      </c>
      <c r="D21" t="s">
        <v>97</v>
      </c>
      <c r="E21">
        <v>0</v>
      </c>
      <c r="F21">
        <v>39999</v>
      </c>
      <c r="G21">
        <v>30000</v>
      </c>
      <c r="H21">
        <v>59999</v>
      </c>
      <c r="I21" t="s">
        <v>217</v>
      </c>
      <c r="J21" s="5">
        <v>20000</v>
      </c>
      <c r="K21">
        <v>45000</v>
      </c>
      <c r="L21" t="s">
        <v>356</v>
      </c>
      <c r="M21" t="s">
        <v>357</v>
      </c>
      <c r="N21" t="s">
        <v>359</v>
      </c>
      <c r="O21" t="s">
        <v>358</v>
      </c>
    </row>
    <row r="22" spans="1:19" x14ac:dyDescent="0.2">
      <c r="A22" t="s">
        <v>41</v>
      </c>
      <c r="B22" t="s">
        <v>42</v>
      </c>
      <c r="C22">
        <v>8112</v>
      </c>
      <c r="D22" t="s">
        <v>40</v>
      </c>
      <c r="E22">
        <v>80000</v>
      </c>
      <c r="F22">
        <v>19999</v>
      </c>
      <c r="G22">
        <v>40000</v>
      </c>
      <c r="H22">
        <v>69999</v>
      </c>
      <c r="I22" t="s">
        <v>222</v>
      </c>
      <c r="J22" s="5">
        <v>0</v>
      </c>
      <c r="K22">
        <v>55000</v>
      </c>
      <c r="L22" t="s">
        <v>360</v>
      </c>
      <c r="M22" t="s">
        <v>361</v>
      </c>
      <c r="N22" t="s">
        <v>363</v>
      </c>
      <c r="O22" t="s">
        <v>362</v>
      </c>
    </row>
    <row r="23" spans="1:19" x14ac:dyDescent="0.2">
      <c r="A23" t="s">
        <v>148</v>
      </c>
      <c r="B23" t="s">
        <v>149</v>
      </c>
      <c r="C23">
        <v>8411</v>
      </c>
      <c r="D23" t="s">
        <v>150</v>
      </c>
      <c r="E23">
        <v>80000</v>
      </c>
      <c r="F23">
        <v>19999</v>
      </c>
      <c r="G23">
        <v>60000</v>
      </c>
      <c r="H23">
        <v>89999</v>
      </c>
      <c r="I23" t="s">
        <v>227</v>
      </c>
      <c r="J23" s="5">
        <v>0</v>
      </c>
      <c r="K23">
        <v>75000</v>
      </c>
      <c r="L23" t="s">
        <v>364</v>
      </c>
      <c r="M23" t="s">
        <v>365</v>
      </c>
      <c r="N23" t="s">
        <v>367</v>
      </c>
      <c r="O23" t="s">
        <v>366</v>
      </c>
    </row>
    <row r="24" spans="1:19" x14ac:dyDescent="0.2">
      <c r="A24" t="s">
        <v>34</v>
      </c>
      <c r="B24" t="s">
        <v>35</v>
      </c>
      <c r="C24">
        <v>8113</v>
      </c>
      <c r="D24" t="s">
        <v>33</v>
      </c>
      <c r="E24">
        <v>80000</v>
      </c>
      <c r="F24">
        <v>19999</v>
      </c>
      <c r="G24">
        <v>30000</v>
      </c>
      <c r="H24">
        <v>59999</v>
      </c>
      <c r="I24" t="s">
        <v>216</v>
      </c>
      <c r="J24" s="5">
        <v>0</v>
      </c>
      <c r="K24">
        <v>45000</v>
      </c>
      <c r="L24" t="s">
        <v>368</v>
      </c>
      <c r="M24" t="s">
        <v>369</v>
      </c>
      <c r="N24" t="s">
        <v>371</v>
      </c>
      <c r="O24" t="s">
        <v>370</v>
      </c>
    </row>
    <row r="25" spans="1:19" x14ac:dyDescent="0.2">
      <c r="A25" t="s">
        <v>26</v>
      </c>
      <c r="B25" t="s">
        <v>27</v>
      </c>
      <c r="C25">
        <v>8114</v>
      </c>
      <c r="D25" t="s">
        <v>25</v>
      </c>
      <c r="E25">
        <v>80000</v>
      </c>
      <c r="F25">
        <v>19999</v>
      </c>
      <c r="G25">
        <v>20000</v>
      </c>
      <c r="H25">
        <v>49999</v>
      </c>
      <c r="I25" t="s">
        <v>220</v>
      </c>
      <c r="J25" s="5">
        <v>0</v>
      </c>
      <c r="K25">
        <v>35000</v>
      </c>
      <c r="L25" t="s">
        <v>372</v>
      </c>
      <c r="M25" t="s">
        <v>373</v>
      </c>
      <c r="N25" t="s">
        <v>375</v>
      </c>
      <c r="O25" t="s">
        <v>374</v>
      </c>
    </row>
    <row r="26" spans="1:19" x14ac:dyDescent="0.2">
      <c r="A26" t="s">
        <v>49</v>
      </c>
      <c r="B26" t="s">
        <v>50</v>
      </c>
      <c r="C26">
        <v>8113</v>
      </c>
      <c r="D26" t="s">
        <v>51</v>
      </c>
      <c r="E26">
        <v>20000</v>
      </c>
      <c r="F26">
        <v>59999</v>
      </c>
      <c r="G26">
        <v>90000</v>
      </c>
      <c r="H26">
        <v>19999</v>
      </c>
      <c r="I26" t="s">
        <v>219</v>
      </c>
      <c r="J26" s="5">
        <v>40000</v>
      </c>
      <c r="K26">
        <v>5000</v>
      </c>
      <c r="L26" t="s">
        <v>376</v>
      </c>
      <c r="M26" t="s">
        <v>377</v>
      </c>
      <c r="N26" t="s">
        <v>379</v>
      </c>
      <c r="O26" t="s">
        <v>378</v>
      </c>
    </row>
    <row r="27" spans="1:19" x14ac:dyDescent="0.2">
      <c r="A27" t="s">
        <v>131</v>
      </c>
      <c r="B27" s="3" t="s">
        <v>132</v>
      </c>
      <c r="C27">
        <v>8311</v>
      </c>
      <c r="D27" t="s">
        <v>104</v>
      </c>
      <c r="E27">
        <v>40000</v>
      </c>
      <c r="F27">
        <v>79999</v>
      </c>
      <c r="G27">
        <v>40000</v>
      </c>
      <c r="H27">
        <v>69999</v>
      </c>
      <c r="I27" t="s">
        <v>223</v>
      </c>
      <c r="J27" s="5">
        <v>60000</v>
      </c>
      <c r="K27">
        <v>55000</v>
      </c>
      <c r="L27" t="s">
        <v>380</v>
      </c>
      <c r="M27" t="s">
        <v>381</v>
      </c>
      <c r="N27" t="s">
        <v>383</v>
      </c>
      <c r="O27" t="s">
        <v>555</v>
      </c>
      <c r="P27" t="s">
        <v>556</v>
      </c>
      <c r="Q27" t="s">
        <v>557</v>
      </c>
      <c r="R27" t="s">
        <v>558</v>
      </c>
      <c r="S27" t="s">
        <v>382</v>
      </c>
    </row>
    <row r="28" spans="1:19" x14ac:dyDescent="0.2">
      <c r="A28" t="s">
        <v>36</v>
      </c>
      <c r="B28" t="s">
        <v>37</v>
      </c>
      <c r="C28">
        <v>8212</v>
      </c>
      <c r="D28" t="s">
        <v>33</v>
      </c>
      <c r="E28">
        <v>80000</v>
      </c>
      <c r="F28">
        <v>19999</v>
      </c>
      <c r="G28">
        <v>0</v>
      </c>
      <c r="H28">
        <v>29999</v>
      </c>
      <c r="I28" t="s">
        <v>216</v>
      </c>
      <c r="J28" s="5">
        <v>0</v>
      </c>
      <c r="K28">
        <v>15000</v>
      </c>
      <c r="L28" t="s">
        <v>384</v>
      </c>
      <c r="M28" t="s">
        <v>385</v>
      </c>
      <c r="N28" t="s">
        <v>387</v>
      </c>
      <c r="O28" t="s">
        <v>386</v>
      </c>
    </row>
    <row r="29" spans="1:19" x14ac:dyDescent="0.2">
      <c r="A29" t="s">
        <v>153</v>
      </c>
      <c r="B29" t="s">
        <v>154</v>
      </c>
      <c r="C29">
        <v>7913</v>
      </c>
      <c r="D29" t="s">
        <v>150</v>
      </c>
      <c r="E29">
        <v>80000</v>
      </c>
      <c r="F29">
        <v>19999</v>
      </c>
      <c r="G29">
        <v>0</v>
      </c>
      <c r="H29">
        <v>29999</v>
      </c>
      <c r="I29" t="s">
        <v>227</v>
      </c>
      <c r="J29" s="5">
        <v>0</v>
      </c>
      <c r="K29">
        <v>15000</v>
      </c>
      <c r="L29" t="s">
        <v>388</v>
      </c>
      <c r="M29" t="s">
        <v>389</v>
      </c>
      <c r="N29" t="s">
        <v>391</v>
      </c>
      <c r="O29" t="s">
        <v>390</v>
      </c>
    </row>
    <row r="30" spans="1:19" x14ac:dyDescent="0.2">
      <c r="A30" t="s">
        <v>102</v>
      </c>
      <c r="B30" t="s">
        <v>103</v>
      </c>
      <c r="C30">
        <v>8312</v>
      </c>
      <c r="D30" t="s">
        <v>104</v>
      </c>
      <c r="E30">
        <v>0</v>
      </c>
      <c r="F30">
        <v>39999</v>
      </c>
      <c r="G30">
        <v>70000</v>
      </c>
      <c r="H30">
        <v>99999</v>
      </c>
      <c r="I30" t="s">
        <v>223</v>
      </c>
      <c r="J30" s="5">
        <v>20000</v>
      </c>
      <c r="K30">
        <v>85000</v>
      </c>
      <c r="L30" t="s">
        <v>392</v>
      </c>
      <c r="M30" t="s">
        <v>393</v>
      </c>
      <c r="N30" t="s">
        <v>395</v>
      </c>
      <c r="O30" t="s">
        <v>394</v>
      </c>
    </row>
    <row r="31" spans="1:19" x14ac:dyDescent="0.2">
      <c r="A31" t="s">
        <v>85</v>
      </c>
      <c r="B31" t="s">
        <v>86</v>
      </c>
      <c r="C31">
        <v>8211</v>
      </c>
      <c r="D31" t="s">
        <v>61</v>
      </c>
      <c r="E31">
        <v>60000</v>
      </c>
      <c r="F31">
        <v>99999</v>
      </c>
      <c r="G31">
        <v>10000</v>
      </c>
      <c r="H31">
        <v>39999</v>
      </c>
      <c r="I31" t="s">
        <v>222</v>
      </c>
      <c r="J31" s="5">
        <v>80000</v>
      </c>
      <c r="K31">
        <v>25000</v>
      </c>
      <c r="L31" t="s">
        <v>396</v>
      </c>
      <c r="M31" t="s">
        <v>397</v>
      </c>
      <c r="N31" t="s">
        <v>399</v>
      </c>
      <c r="O31" t="s">
        <v>398</v>
      </c>
    </row>
    <row r="32" spans="1:19" x14ac:dyDescent="0.2">
      <c r="A32" t="s">
        <v>186</v>
      </c>
      <c r="B32" s="4" t="s">
        <v>187</v>
      </c>
      <c r="D32" t="s">
        <v>213</v>
      </c>
      <c r="E32">
        <v>54000</v>
      </c>
      <c r="F32">
        <v>79999</v>
      </c>
      <c r="G32">
        <v>38000</v>
      </c>
      <c r="H32">
        <v>99999</v>
      </c>
      <c r="I32" t="s">
        <v>213</v>
      </c>
      <c r="J32" s="5">
        <v>67000</v>
      </c>
      <c r="K32">
        <v>69000</v>
      </c>
      <c r="L32" t="s">
        <v>279</v>
      </c>
      <c r="M32" t="s">
        <v>280</v>
      </c>
      <c r="N32" t="s">
        <v>273</v>
      </c>
      <c r="O32" t="s">
        <v>274</v>
      </c>
      <c r="P32" t="s">
        <v>275</v>
      </c>
      <c r="Q32" t="s">
        <v>276</v>
      </c>
      <c r="R32" t="s">
        <v>277</v>
      </c>
      <c r="S32" t="s">
        <v>278</v>
      </c>
    </row>
    <row r="33" spans="1:15" x14ac:dyDescent="0.2">
      <c r="A33" t="s">
        <v>95</v>
      </c>
      <c r="B33" t="s">
        <v>96</v>
      </c>
      <c r="C33">
        <v>8213</v>
      </c>
      <c r="D33" t="s">
        <v>97</v>
      </c>
      <c r="E33">
        <v>0</v>
      </c>
      <c r="F33">
        <v>39999</v>
      </c>
      <c r="G33">
        <v>60000</v>
      </c>
      <c r="H33">
        <v>89999</v>
      </c>
      <c r="I33" t="s">
        <v>217</v>
      </c>
      <c r="J33" s="5">
        <v>20000</v>
      </c>
      <c r="K33">
        <v>75000</v>
      </c>
      <c r="L33" t="s">
        <v>400</v>
      </c>
      <c r="M33" t="s">
        <v>401</v>
      </c>
      <c r="N33" t="s">
        <v>403</v>
      </c>
      <c r="O33" t="s">
        <v>402</v>
      </c>
    </row>
    <row r="34" spans="1:15" x14ac:dyDescent="0.2">
      <c r="A34" t="s">
        <v>52</v>
      </c>
      <c r="B34" t="s">
        <v>53</v>
      </c>
      <c r="C34">
        <v>8114</v>
      </c>
      <c r="D34" t="s">
        <v>54</v>
      </c>
      <c r="E34">
        <v>20000</v>
      </c>
      <c r="F34">
        <v>59999</v>
      </c>
      <c r="G34">
        <v>60000</v>
      </c>
      <c r="H34">
        <v>89999</v>
      </c>
      <c r="I34" t="s">
        <v>216</v>
      </c>
      <c r="J34" s="5">
        <v>40000</v>
      </c>
      <c r="K34">
        <v>75000</v>
      </c>
      <c r="L34" t="s">
        <v>404</v>
      </c>
      <c r="M34" t="s">
        <v>405</v>
      </c>
      <c r="N34" t="s">
        <v>407</v>
      </c>
      <c r="O34" t="s">
        <v>406</v>
      </c>
    </row>
    <row r="35" spans="1:15" x14ac:dyDescent="0.2">
      <c r="A35" t="s">
        <v>197</v>
      </c>
      <c r="B35" s="2" t="s">
        <v>195</v>
      </c>
      <c r="D35" t="s">
        <v>113</v>
      </c>
      <c r="E35">
        <v>0</v>
      </c>
      <c r="F35">
        <v>39999</v>
      </c>
      <c r="G35">
        <v>30000</v>
      </c>
      <c r="H35">
        <v>59999</v>
      </c>
      <c r="I35" t="s">
        <v>225</v>
      </c>
      <c r="J35" s="5">
        <v>20000</v>
      </c>
      <c r="K35">
        <v>45000</v>
      </c>
      <c r="L35" t="s">
        <v>408</v>
      </c>
      <c r="M35" t="s">
        <v>409</v>
      </c>
      <c r="N35" t="s">
        <v>411</v>
      </c>
      <c r="O35" t="s">
        <v>410</v>
      </c>
    </row>
    <row r="36" spans="1:15" x14ac:dyDescent="0.2">
      <c r="A36" t="s">
        <v>57</v>
      </c>
      <c r="B36" t="s">
        <v>58</v>
      </c>
      <c r="C36">
        <v>8212</v>
      </c>
      <c r="D36" t="s">
        <v>54</v>
      </c>
      <c r="E36">
        <v>20000</v>
      </c>
      <c r="F36">
        <v>59999</v>
      </c>
      <c r="G36">
        <v>0</v>
      </c>
      <c r="H36">
        <v>29999</v>
      </c>
      <c r="I36" t="s">
        <v>216</v>
      </c>
      <c r="J36" s="5">
        <v>40000</v>
      </c>
      <c r="K36">
        <v>15000</v>
      </c>
      <c r="L36" t="s">
        <v>412</v>
      </c>
      <c r="M36" t="s">
        <v>413</v>
      </c>
      <c r="N36" t="s">
        <v>415</v>
      </c>
      <c r="O36" t="s">
        <v>414</v>
      </c>
    </row>
    <row r="37" spans="1:15" x14ac:dyDescent="0.2">
      <c r="A37" t="s">
        <v>125</v>
      </c>
      <c r="B37" t="s">
        <v>126</v>
      </c>
      <c r="C37">
        <v>8213</v>
      </c>
      <c r="D37" t="s">
        <v>97</v>
      </c>
      <c r="E37">
        <v>40000</v>
      </c>
      <c r="F37">
        <v>79999</v>
      </c>
      <c r="G37">
        <v>30000</v>
      </c>
      <c r="H37">
        <v>59999</v>
      </c>
      <c r="I37" t="s">
        <v>217</v>
      </c>
      <c r="J37" s="5">
        <v>60000</v>
      </c>
      <c r="K37">
        <v>45000</v>
      </c>
      <c r="L37" t="s">
        <v>416</v>
      </c>
      <c r="M37" t="s">
        <v>417</v>
      </c>
      <c r="N37" t="s">
        <v>419</v>
      </c>
      <c r="O37" t="s">
        <v>418</v>
      </c>
    </row>
    <row r="38" spans="1:15" x14ac:dyDescent="0.2">
      <c r="A38" t="s">
        <v>62</v>
      </c>
      <c r="B38" t="s">
        <v>63</v>
      </c>
      <c r="C38">
        <v>8112</v>
      </c>
      <c r="D38" t="s">
        <v>61</v>
      </c>
      <c r="E38">
        <v>20000</v>
      </c>
      <c r="F38">
        <v>59999</v>
      </c>
      <c r="G38">
        <v>40000</v>
      </c>
      <c r="H38">
        <v>69999</v>
      </c>
      <c r="I38" t="s">
        <v>222</v>
      </c>
      <c r="J38" s="5">
        <v>40000</v>
      </c>
      <c r="K38">
        <v>55000</v>
      </c>
      <c r="L38" t="s">
        <v>420</v>
      </c>
      <c r="M38" t="s">
        <v>421</v>
      </c>
      <c r="N38" t="s">
        <v>423</v>
      </c>
      <c r="O38" t="s">
        <v>422</v>
      </c>
    </row>
    <row r="39" spans="1:15" x14ac:dyDescent="0.2">
      <c r="A39" t="s">
        <v>16</v>
      </c>
      <c r="B39" t="s">
        <v>17</v>
      </c>
      <c r="C39">
        <v>7914</v>
      </c>
      <c r="D39" t="s">
        <v>18</v>
      </c>
      <c r="E39">
        <v>40000</v>
      </c>
      <c r="F39">
        <v>79999</v>
      </c>
      <c r="G39">
        <v>60000</v>
      </c>
      <c r="H39">
        <v>89999</v>
      </c>
      <c r="I39" t="s">
        <v>218</v>
      </c>
      <c r="J39" s="5">
        <v>60000</v>
      </c>
      <c r="K39">
        <v>75000</v>
      </c>
      <c r="L39" t="s">
        <v>424</v>
      </c>
      <c r="M39" t="s">
        <v>425</v>
      </c>
      <c r="N39" t="s">
        <v>427</v>
      </c>
      <c r="O39" t="s">
        <v>426</v>
      </c>
    </row>
    <row r="40" spans="1:15" x14ac:dyDescent="0.2">
      <c r="A40" t="s">
        <v>119</v>
      </c>
      <c r="B40" t="s">
        <v>120</v>
      </c>
      <c r="C40">
        <v>8416</v>
      </c>
      <c r="D40" t="s">
        <v>91</v>
      </c>
      <c r="E40">
        <v>40000</v>
      </c>
      <c r="F40">
        <v>79999</v>
      </c>
      <c r="G40">
        <v>20000</v>
      </c>
      <c r="H40">
        <v>49999</v>
      </c>
      <c r="I40" t="s">
        <v>219</v>
      </c>
      <c r="J40" s="5">
        <v>60000</v>
      </c>
      <c r="K40">
        <v>35000</v>
      </c>
      <c r="L40" t="s">
        <v>428</v>
      </c>
      <c r="M40" t="s">
        <v>429</v>
      </c>
      <c r="N40" t="s">
        <v>431</v>
      </c>
      <c r="O40" t="s">
        <v>430</v>
      </c>
    </row>
    <row r="41" spans="1:15" x14ac:dyDescent="0.2">
      <c r="A41" t="s">
        <v>21</v>
      </c>
      <c r="B41" t="s">
        <v>22</v>
      </c>
      <c r="C41">
        <v>7913</v>
      </c>
      <c r="D41" t="s">
        <v>18</v>
      </c>
      <c r="E41">
        <v>40000</v>
      </c>
      <c r="F41">
        <v>79999</v>
      </c>
      <c r="G41">
        <v>0</v>
      </c>
      <c r="H41">
        <v>29999</v>
      </c>
      <c r="I41" t="s">
        <v>218</v>
      </c>
      <c r="J41" s="5">
        <v>60000</v>
      </c>
      <c r="K41">
        <v>15000</v>
      </c>
      <c r="L41" t="s">
        <v>432</v>
      </c>
      <c r="M41" t="s">
        <v>433</v>
      </c>
      <c r="N41" t="s">
        <v>435</v>
      </c>
      <c r="O41" t="s">
        <v>434</v>
      </c>
    </row>
    <row r="42" spans="1:15" x14ac:dyDescent="0.2">
      <c r="A42" t="s">
        <v>155</v>
      </c>
      <c r="B42" s="3" t="s">
        <v>156</v>
      </c>
      <c r="C42">
        <v>8313</v>
      </c>
      <c r="D42" t="s">
        <v>157</v>
      </c>
      <c r="E42">
        <v>80000</v>
      </c>
      <c r="F42">
        <v>19999</v>
      </c>
      <c r="G42">
        <v>70000</v>
      </c>
      <c r="H42">
        <v>99999</v>
      </c>
      <c r="I42" t="s">
        <v>226</v>
      </c>
      <c r="J42" s="5">
        <v>0</v>
      </c>
      <c r="K42">
        <v>85000</v>
      </c>
      <c r="L42" t="s">
        <v>436</v>
      </c>
      <c r="M42" t="s">
        <v>437</v>
      </c>
      <c r="N42" t="s">
        <v>439</v>
      </c>
      <c r="O42" t="s">
        <v>438</v>
      </c>
    </row>
    <row r="43" spans="1:15" x14ac:dyDescent="0.2">
      <c r="A43" t="s">
        <v>81</v>
      </c>
      <c r="B43" t="s">
        <v>82</v>
      </c>
      <c r="C43">
        <v>8212</v>
      </c>
      <c r="D43" t="s">
        <v>61</v>
      </c>
      <c r="E43">
        <v>60000</v>
      </c>
      <c r="F43">
        <v>99999</v>
      </c>
      <c r="G43">
        <v>70000</v>
      </c>
      <c r="H43">
        <v>99999</v>
      </c>
      <c r="I43" t="s">
        <v>222</v>
      </c>
      <c r="J43" s="5">
        <v>80000</v>
      </c>
      <c r="K43">
        <v>85000</v>
      </c>
      <c r="L43" t="s">
        <v>440</v>
      </c>
      <c r="M43" t="s">
        <v>441</v>
      </c>
      <c r="N43" t="s">
        <v>443</v>
      </c>
      <c r="O43" t="s">
        <v>442</v>
      </c>
    </row>
    <row r="44" spans="1:15" x14ac:dyDescent="0.2">
      <c r="A44" t="s">
        <v>73</v>
      </c>
      <c r="B44" t="s">
        <v>74</v>
      </c>
      <c r="C44">
        <v>8114</v>
      </c>
      <c r="D44" t="s">
        <v>51</v>
      </c>
      <c r="E44">
        <v>60000</v>
      </c>
      <c r="F44">
        <v>99999</v>
      </c>
      <c r="G44">
        <v>90000</v>
      </c>
      <c r="H44">
        <v>19999</v>
      </c>
      <c r="I44" t="s">
        <v>220</v>
      </c>
      <c r="J44" s="5">
        <v>80000</v>
      </c>
      <c r="K44">
        <v>5000</v>
      </c>
      <c r="L44" t="s">
        <v>444</v>
      </c>
      <c r="M44" t="s">
        <v>445</v>
      </c>
      <c r="N44" t="s">
        <v>447</v>
      </c>
      <c r="O44" t="s">
        <v>446</v>
      </c>
    </row>
    <row r="45" spans="1:15" x14ac:dyDescent="0.2">
      <c r="A45" t="s">
        <v>4</v>
      </c>
      <c r="B45" s="4" t="s">
        <v>5</v>
      </c>
      <c r="C45">
        <v>7916</v>
      </c>
      <c r="D45" t="s">
        <v>281</v>
      </c>
      <c r="E45">
        <v>98000</v>
      </c>
      <c r="F45">
        <v>39999</v>
      </c>
      <c r="G45">
        <v>50000</v>
      </c>
      <c r="H45">
        <v>79999</v>
      </c>
      <c r="I45" t="s">
        <v>212</v>
      </c>
      <c r="J45" s="5">
        <v>69000</v>
      </c>
      <c r="K45">
        <v>65000</v>
      </c>
      <c r="L45" t="s">
        <v>247</v>
      </c>
      <c r="M45" t="s">
        <v>248</v>
      </c>
      <c r="N45" t="s">
        <v>249</v>
      </c>
      <c r="O45" t="s">
        <v>250</v>
      </c>
    </row>
    <row r="46" spans="1:15" x14ac:dyDescent="0.2">
      <c r="A46" t="s">
        <v>151</v>
      </c>
      <c r="B46" t="s">
        <v>152</v>
      </c>
      <c r="C46">
        <v>8514</v>
      </c>
      <c r="D46" t="s">
        <v>150</v>
      </c>
      <c r="E46">
        <v>80000</v>
      </c>
      <c r="F46">
        <v>19999</v>
      </c>
      <c r="G46">
        <v>30000</v>
      </c>
      <c r="H46">
        <v>59999</v>
      </c>
      <c r="I46" t="s">
        <v>227</v>
      </c>
      <c r="J46" s="5">
        <v>0</v>
      </c>
      <c r="K46">
        <v>45000</v>
      </c>
      <c r="L46" t="s">
        <v>448</v>
      </c>
      <c r="M46" t="s">
        <v>449</v>
      </c>
      <c r="N46" t="s">
        <v>451</v>
      </c>
      <c r="O46" t="s">
        <v>450</v>
      </c>
    </row>
    <row r="47" spans="1:15" x14ac:dyDescent="0.2">
      <c r="A47" t="s">
        <v>140</v>
      </c>
      <c r="B47" t="s">
        <v>141</v>
      </c>
      <c r="C47">
        <v>8517</v>
      </c>
      <c r="D47" t="s">
        <v>142</v>
      </c>
      <c r="E47">
        <v>80000</v>
      </c>
      <c r="F47">
        <v>19999</v>
      </c>
      <c r="G47">
        <v>50000</v>
      </c>
      <c r="H47">
        <v>79999</v>
      </c>
      <c r="I47" t="s">
        <v>228</v>
      </c>
      <c r="J47" s="5">
        <v>0</v>
      </c>
      <c r="K47">
        <v>65000</v>
      </c>
      <c r="L47" t="s">
        <v>452</v>
      </c>
      <c r="M47" t="s">
        <v>453</v>
      </c>
      <c r="N47" t="s">
        <v>455</v>
      </c>
      <c r="O47" t="s">
        <v>454</v>
      </c>
    </row>
    <row r="48" spans="1:15" x14ac:dyDescent="0.2">
      <c r="A48" t="s">
        <v>31</v>
      </c>
      <c r="B48" t="s">
        <v>32</v>
      </c>
      <c r="C48">
        <v>8113</v>
      </c>
      <c r="D48" t="s">
        <v>33</v>
      </c>
      <c r="E48">
        <v>80000</v>
      </c>
      <c r="F48">
        <v>19999</v>
      </c>
      <c r="G48">
        <v>60000</v>
      </c>
      <c r="H48">
        <v>89999</v>
      </c>
      <c r="I48" t="s">
        <v>216</v>
      </c>
      <c r="J48" s="5">
        <v>0</v>
      </c>
      <c r="K48">
        <v>75000</v>
      </c>
      <c r="L48" t="s">
        <v>456</v>
      </c>
      <c r="M48" t="s">
        <v>457</v>
      </c>
      <c r="N48" t="s">
        <v>459</v>
      </c>
      <c r="O48" t="s">
        <v>458</v>
      </c>
    </row>
    <row r="49" spans="1:19" x14ac:dyDescent="0.2">
      <c r="A49" t="s">
        <v>145</v>
      </c>
      <c r="B49" t="s">
        <v>146</v>
      </c>
      <c r="C49">
        <v>8416</v>
      </c>
      <c r="D49" t="s">
        <v>147</v>
      </c>
      <c r="E49">
        <v>80000</v>
      </c>
      <c r="F49">
        <v>19999</v>
      </c>
      <c r="G49">
        <v>90000</v>
      </c>
      <c r="H49">
        <v>19999</v>
      </c>
      <c r="I49" t="s">
        <v>228</v>
      </c>
      <c r="J49" s="5">
        <v>0</v>
      </c>
      <c r="K49">
        <v>5000</v>
      </c>
      <c r="L49" t="s">
        <v>238</v>
      </c>
      <c r="M49" t="s">
        <v>239</v>
      </c>
      <c r="N49" t="s">
        <v>241</v>
      </c>
      <c r="O49" t="s">
        <v>240</v>
      </c>
    </row>
    <row r="50" spans="1:19" x14ac:dyDescent="0.2">
      <c r="A50" t="s">
        <v>193</v>
      </c>
      <c r="B50" t="s">
        <v>192</v>
      </c>
      <c r="D50" t="s">
        <v>91</v>
      </c>
      <c r="E50">
        <v>0</v>
      </c>
      <c r="F50">
        <v>39999</v>
      </c>
      <c r="G50">
        <v>50000</v>
      </c>
      <c r="H50">
        <v>79999</v>
      </c>
      <c r="I50" t="s">
        <v>219</v>
      </c>
      <c r="J50" s="5">
        <v>20000</v>
      </c>
      <c r="K50">
        <v>65000</v>
      </c>
      <c r="L50" t="s">
        <v>460</v>
      </c>
      <c r="M50" t="s">
        <v>461</v>
      </c>
      <c r="N50" t="s">
        <v>463</v>
      </c>
      <c r="O50" t="s">
        <v>462</v>
      </c>
    </row>
    <row r="51" spans="1:19" x14ac:dyDescent="0.2">
      <c r="A51" t="s">
        <v>9</v>
      </c>
      <c r="B51" s="4" t="s">
        <v>10</v>
      </c>
      <c r="C51">
        <v>7915</v>
      </c>
      <c r="D51" t="s">
        <v>11</v>
      </c>
      <c r="E51">
        <v>10000</v>
      </c>
      <c r="F51">
        <v>39999</v>
      </c>
      <c r="G51">
        <v>64000</v>
      </c>
      <c r="H51">
        <v>19999</v>
      </c>
      <c r="I51" t="s">
        <v>212</v>
      </c>
      <c r="J51" s="5">
        <v>25000</v>
      </c>
      <c r="K51">
        <v>42000</v>
      </c>
      <c r="L51" t="s">
        <v>267</v>
      </c>
      <c r="M51" t="s">
        <v>268</v>
      </c>
      <c r="N51" t="s">
        <v>269</v>
      </c>
      <c r="O51" t="s">
        <v>270</v>
      </c>
      <c r="P51" t="s">
        <v>271</v>
      </c>
      <c r="Q51" t="s">
        <v>272</v>
      </c>
    </row>
    <row r="52" spans="1:19" x14ac:dyDescent="0.2">
      <c r="A52" t="s">
        <v>46</v>
      </c>
      <c r="B52" t="s">
        <v>47</v>
      </c>
      <c r="C52">
        <v>8114</v>
      </c>
      <c r="D52" t="s">
        <v>48</v>
      </c>
      <c r="E52">
        <v>20000</v>
      </c>
      <c r="F52">
        <v>59999</v>
      </c>
      <c r="G52">
        <v>20000</v>
      </c>
      <c r="H52">
        <v>49999</v>
      </c>
      <c r="I52" t="s">
        <v>220</v>
      </c>
      <c r="J52" s="5">
        <v>40000</v>
      </c>
      <c r="K52">
        <v>35000</v>
      </c>
      <c r="L52" t="s">
        <v>464</v>
      </c>
      <c r="M52" t="s">
        <v>465</v>
      </c>
      <c r="N52" t="s">
        <v>467</v>
      </c>
      <c r="O52" t="s">
        <v>466</v>
      </c>
    </row>
    <row r="53" spans="1:19" x14ac:dyDescent="0.2">
      <c r="A53" t="s">
        <v>77</v>
      </c>
      <c r="B53" t="s">
        <v>78</v>
      </c>
      <c r="C53">
        <v>8212</v>
      </c>
      <c r="D53" t="s">
        <v>54</v>
      </c>
      <c r="E53">
        <v>60000</v>
      </c>
      <c r="F53">
        <v>99999</v>
      </c>
      <c r="G53">
        <v>30000</v>
      </c>
      <c r="H53">
        <v>59999</v>
      </c>
      <c r="I53" t="s">
        <v>216</v>
      </c>
      <c r="J53" s="5">
        <v>80000</v>
      </c>
      <c r="K53">
        <v>45000</v>
      </c>
      <c r="L53" t="s">
        <v>468</v>
      </c>
      <c r="M53" t="s">
        <v>469</v>
      </c>
      <c r="N53" t="s">
        <v>471</v>
      </c>
      <c r="O53" t="s">
        <v>470</v>
      </c>
    </row>
    <row r="54" spans="1:19" x14ac:dyDescent="0.2">
      <c r="A54" t="s">
        <v>92</v>
      </c>
      <c r="B54" t="s">
        <v>93</v>
      </c>
      <c r="C54">
        <v>8114</v>
      </c>
      <c r="D54" t="s">
        <v>94</v>
      </c>
      <c r="E54">
        <v>0</v>
      </c>
      <c r="F54">
        <v>39999</v>
      </c>
      <c r="G54">
        <v>90000</v>
      </c>
      <c r="H54">
        <v>19999</v>
      </c>
      <c r="I54" t="s">
        <v>219</v>
      </c>
      <c r="J54" s="5">
        <v>20000</v>
      </c>
      <c r="K54">
        <v>5000</v>
      </c>
      <c r="L54" t="s">
        <v>472</v>
      </c>
      <c r="M54" t="s">
        <v>473</v>
      </c>
      <c r="N54" t="s">
        <v>475</v>
      </c>
      <c r="O54" t="s">
        <v>474</v>
      </c>
      <c r="P54" t="s">
        <v>559</v>
      </c>
    </row>
    <row r="55" spans="1:19" x14ac:dyDescent="0.2">
      <c r="A55" t="s">
        <v>43</v>
      </c>
      <c r="B55" s="4" t="s">
        <v>44</v>
      </c>
      <c r="C55">
        <v>8011</v>
      </c>
      <c r="D55" t="s">
        <v>45</v>
      </c>
      <c r="E55">
        <v>90000</v>
      </c>
      <c r="F55">
        <v>19999</v>
      </c>
      <c r="G55">
        <v>32000</v>
      </c>
      <c r="H55">
        <v>39999</v>
      </c>
      <c r="I55" t="s">
        <v>215</v>
      </c>
      <c r="J55" s="5">
        <v>5000</v>
      </c>
      <c r="K55">
        <v>54000</v>
      </c>
      <c r="L55" t="s">
        <v>560</v>
      </c>
      <c r="M55" t="s">
        <v>554</v>
      </c>
      <c r="N55" t="s">
        <v>561</v>
      </c>
      <c r="O55" t="s">
        <v>562</v>
      </c>
      <c r="P55" t="s">
        <v>563</v>
      </c>
      <c r="Q55" t="s">
        <v>564</v>
      </c>
      <c r="R55" t="s">
        <v>565</v>
      </c>
      <c r="S55" t="s">
        <v>566</v>
      </c>
    </row>
    <row r="56" spans="1:19" x14ac:dyDescent="0.2">
      <c r="A56" t="s">
        <v>114</v>
      </c>
      <c r="B56" s="2" t="s">
        <v>115</v>
      </c>
      <c r="C56">
        <v>8517</v>
      </c>
      <c r="D56" t="s">
        <v>116</v>
      </c>
      <c r="E56">
        <v>40000</v>
      </c>
      <c r="F56">
        <v>79999</v>
      </c>
      <c r="G56">
        <v>70000</v>
      </c>
      <c r="H56">
        <v>99999</v>
      </c>
      <c r="I56" t="s">
        <v>224</v>
      </c>
      <c r="J56" s="5">
        <v>60000</v>
      </c>
      <c r="K56">
        <v>85000</v>
      </c>
      <c r="L56" t="s">
        <v>476</v>
      </c>
      <c r="M56" t="s">
        <v>477</v>
      </c>
      <c r="N56" t="s">
        <v>479</v>
      </c>
      <c r="O56" t="s">
        <v>478</v>
      </c>
    </row>
    <row r="57" spans="1:19" x14ac:dyDescent="0.2">
      <c r="A57" t="s">
        <v>38</v>
      </c>
      <c r="B57" t="s">
        <v>39</v>
      </c>
      <c r="C57">
        <v>8112</v>
      </c>
      <c r="D57" t="s">
        <v>40</v>
      </c>
      <c r="E57">
        <v>80000</v>
      </c>
      <c r="F57">
        <v>19999</v>
      </c>
      <c r="G57">
        <v>70000</v>
      </c>
      <c r="H57">
        <v>99999</v>
      </c>
      <c r="I57" t="s">
        <v>222</v>
      </c>
      <c r="J57" s="5">
        <v>0</v>
      </c>
      <c r="K57">
        <v>85000</v>
      </c>
      <c r="L57" t="s">
        <v>480</v>
      </c>
      <c r="M57" t="s">
        <v>481</v>
      </c>
      <c r="N57" t="s">
        <v>483</v>
      </c>
      <c r="O57" t="s">
        <v>482</v>
      </c>
    </row>
    <row r="58" spans="1:19" x14ac:dyDescent="0.2">
      <c r="A58" t="s">
        <v>129</v>
      </c>
      <c r="B58" t="s">
        <v>130</v>
      </c>
      <c r="C58">
        <v>8411</v>
      </c>
      <c r="D58" t="s">
        <v>104</v>
      </c>
      <c r="E58">
        <v>40000</v>
      </c>
      <c r="F58">
        <v>79999</v>
      </c>
      <c r="G58">
        <v>70000</v>
      </c>
      <c r="H58">
        <v>99999</v>
      </c>
      <c r="I58" t="s">
        <v>223</v>
      </c>
      <c r="J58" s="5">
        <v>60000</v>
      </c>
      <c r="K58">
        <v>85000</v>
      </c>
      <c r="L58" t="s">
        <v>484</v>
      </c>
      <c r="M58" t="s">
        <v>485</v>
      </c>
      <c r="N58" t="s">
        <v>487</v>
      </c>
      <c r="O58" t="s">
        <v>486</v>
      </c>
    </row>
    <row r="59" spans="1:19" x14ac:dyDescent="0.2">
      <c r="A59" t="s">
        <v>12</v>
      </c>
      <c r="B59" t="s">
        <v>13</v>
      </c>
      <c r="C59">
        <v>8113</v>
      </c>
      <c r="D59" t="s">
        <v>6</v>
      </c>
      <c r="E59">
        <v>40000</v>
      </c>
      <c r="F59">
        <v>79999</v>
      </c>
      <c r="G59">
        <v>20000</v>
      </c>
      <c r="H59">
        <v>49999</v>
      </c>
      <c r="I59" t="s">
        <v>212</v>
      </c>
      <c r="J59" s="5">
        <v>60000</v>
      </c>
      <c r="K59">
        <v>35000</v>
      </c>
      <c r="L59" t="s">
        <v>488</v>
      </c>
      <c r="M59" t="s">
        <v>489</v>
      </c>
      <c r="N59" t="s">
        <v>491</v>
      </c>
      <c r="O59" t="s">
        <v>490</v>
      </c>
    </row>
    <row r="60" spans="1:19" x14ac:dyDescent="0.2">
      <c r="A60" t="s">
        <v>7</v>
      </c>
      <c r="B60" t="s">
        <v>8</v>
      </c>
      <c r="C60">
        <v>8514</v>
      </c>
      <c r="D60" t="s">
        <v>6</v>
      </c>
      <c r="E60">
        <v>0</v>
      </c>
      <c r="F60">
        <v>39999</v>
      </c>
      <c r="G60">
        <v>20000</v>
      </c>
      <c r="H60">
        <v>49999</v>
      </c>
      <c r="I60" t="s">
        <v>212</v>
      </c>
      <c r="J60" s="5">
        <v>20000</v>
      </c>
      <c r="K60">
        <v>35000</v>
      </c>
      <c r="L60" t="s">
        <v>492</v>
      </c>
      <c r="M60" t="s">
        <v>493</v>
      </c>
      <c r="N60" t="s">
        <v>495</v>
      </c>
      <c r="O60" t="s">
        <v>494</v>
      </c>
    </row>
    <row r="61" spans="1:19" x14ac:dyDescent="0.2">
      <c r="A61" t="s">
        <v>89</v>
      </c>
      <c r="B61" t="s">
        <v>90</v>
      </c>
      <c r="C61">
        <v>8214</v>
      </c>
      <c r="D61" t="s">
        <v>91</v>
      </c>
      <c r="E61">
        <v>0</v>
      </c>
      <c r="F61">
        <v>39999</v>
      </c>
      <c r="G61">
        <v>20000</v>
      </c>
      <c r="H61">
        <v>49999</v>
      </c>
      <c r="I61" t="s">
        <v>219</v>
      </c>
      <c r="J61" s="5">
        <v>20000</v>
      </c>
      <c r="K61">
        <v>35000</v>
      </c>
      <c r="L61" t="s">
        <v>496</v>
      </c>
      <c r="M61" t="s">
        <v>497</v>
      </c>
      <c r="N61" t="s">
        <v>499</v>
      </c>
      <c r="O61" t="s">
        <v>498</v>
      </c>
    </row>
    <row r="62" spans="1:19" x14ac:dyDescent="0.2">
      <c r="A62" t="s">
        <v>83</v>
      </c>
      <c r="B62" t="s">
        <v>84</v>
      </c>
      <c r="C62">
        <v>8112</v>
      </c>
      <c r="D62" t="s">
        <v>61</v>
      </c>
      <c r="E62">
        <v>60000</v>
      </c>
      <c r="F62">
        <v>99999</v>
      </c>
      <c r="G62">
        <v>40000</v>
      </c>
      <c r="H62">
        <v>69999</v>
      </c>
      <c r="I62" t="s">
        <v>222</v>
      </c>
      <c r="J62" s="5">
        <v>80000</v>
      </c>
      <c r="K62">
        <v>55000</v>
      </c>
      <c r="L62" t="s">
        <v>500</v>
      </c>
      <c r="M62" t="s">
        <v>501</v>
      </c>
      <c r="N62" t="s">
        <v>503</v>
      </c>
      <c r="O62" t="s">
        <v>502</v>
      </c>
    </row>
    <row r="63" spans="1:19" x14ac:dyDescent="0.2">
      <c r="A63" t="s">
        <v>109</v>
      </c>
      <c r="B63" t="s">
        <v>110</v>
      </c>
      <c r="C63">
        <v>8211</v>
      </c>
      <c r="D63" t="s">
        <v>237</v>
      </c>
      <c r="E63">
        <v>0</v>
      </c>
      <c r="F63">
        <v>39999</v>
      </c>
      <c r="G63">
        <v>80000</v>
      </c>
      <c r="H63">
        <v>9999</v>
      </c>
      <c r="I63" t="s">
        <v>214</v>
      </c>
      <c r="J63" s="5">
        <v>20000</v>
      </c>
      <c r="K63">
        <v>95000</v>
      </c>
      <c r="L63" t="s">
        <v>504</v>
      </c>
      <c r="M63" t="s">
        <v>505</v>
      </c>
      <c r="N63" t="s">
        <v>507</v>
      </c>
      <c r="O63" t="s">
        <v>506</v>
      </c>
    </row>
    <row r="64" spans="1:19" x14ac:dyDescent="0.2">
      <c r="A64" t="s">
        <v>68</v>
      </c>
      <c r="B64" s="4" t="s">
        <v>69</v>
      </c>
      <c r="C64">
        <v>7912</v>
      </c>
      <c r="D64" t="s">
        <v>70</v>
      </c>
      <c r="E64">
        <v>20000</v>
      </c>
      <c r="F64">
        <v>99999</v>
      </c>
      <c r="G64">
        <v>64000</v>
      </c>
      <c r="H64">
        <v>79999</v>
      </c>
      <c r="I64" t="s">
        <v>215</v>
      </c>
      <c r="J64" s="5">
        <v>60000</v>
      </c>
      <c r="K64">
        <v>72000</v>
      </c>
      <c r="L64" t="s">
        <v>261</v>
      </c>
      <c r="M64" t="s">
        <v>262</v>
      </c>
      <c r="N64" t="s">
        <v>266</v>
      </c>
      <c r="O64" t="s">
        <v>265</v>
      </c>
      <c r="P64" t="s">
        <v>264</v>
      </c>
      <c r="Q64" t="s">
        <v>263</v>
      </c>
    </row>
    <row r="65" spans="1:19" x14ac:dyDescent="0.2">
      <c r="A65" t="s">
        <v>55</v>
      </c>
      <c r="B65" t="s">
        <v>56</v>
      </c>
      <c r="C65">
        <v>8212</v>
      </c>
      <c r="D65" t="s">
        <v>54</v>
      </c>
      <c r="E65">
        <v>20000</v>
      </c>
      <c r="F65">
        <v>59999</v>
      </c>
      <c r="G65">
        <v>30000</v>
      </c>
      <c r="H65">
        <v>59999</v>
      </c>
      <c r="I65" t="s">
        <v>216</v>
      </c>
      <c r="J65" s="5">
        <v>40000</v>
      </c>
      <c r="K65">
        <v>45000</v>
      </c>
      <c r="L65" t="s">
        <v>508</v>
      </c>
      <c r="M65" t="s">
        <v>509</v>
      </c>
      <c r="N65" t="s">
        <v>511</v>
      </c>
      <c r="O65" t="s">
        <v>510</v>
      </c>
    </row>
    <row r="66" spans="1:19" x14ac:dyDescent="0.2">
      <c r="A66" t="s">
        <v>127</v>
      </c>
      <c r="B66" t="s">
        <v>128</v>
      </c>
      <c r="C66">
        <v>7912</v>
      </c>
      <c r="D66" t="s">
        <v>97</v>
      </c>
      <c r="E66">
        <v>40000</v>
      </c>
      <c r="F66">
        <v>79999</v>
      </c>
      <c r="G66">
        <v>0</v>
      </c>
      <c r="H66">
        <v>29999</v>
      </c>
      <c r="I66" t="s">
        <v>217</v>
      </c>
      <c r="J66" s="5">
        <v>60000</v>
      </c>
      <c r="K66">
        <v>15000</v>
      </c>
      <c r="L66" t="s">
        <v>512</v>
      </c>
      <c r="M66" t="s">
        <v>513</v>
      </c>
      <c r="N66" t="s">
        <v>515</v>
      </c>
      <c r="O66" t="s">
        <v>514</v>
      </c>
    </row>
    <row r="67" spans="1:19" x14ac:dyDescent="0.2">
      <c r="A67" t="s">
        <v>23</v>
      </c>
      <c r="B67" s="3" t="s">
        <v>24</v>
      </c>
      <c r="C67">
        <v>7916</v>
      </c>
      <c r="D67" t="s">
        <v>25</v>
      </c>
      <c r="E67">
        <v>80000</v>
      </c>
      <c r="F67">
        <v>19999</v>
      </c>
      <c r="G67">
        <v>50000</v>
      </c>
      <c r="H67">
        <v>79999</v>
      </c>
      <c r="I67" t="s">
        <v>220</v>
      </c>
      <c r="J67" s="5">
        <v>0</v>
      </c>
      <c r="K67">
        <v>65000</v>
      </c>
      <c r="L67" t="s">
        <v>567</v>
      </c>
      <c r="M67" t="s">
        <v>516</v>
      </c>
      <c r="N67" t="s">
        <v>517</v>
      </c>
      <c r="O67" t="s">
        <v>568</v>
      </c>
    </row>
    <row r="68" spans="1:19" x14ac:dyDescent="0.2">
      <c r="A68" t="s">
        <v>133</v>
      </c>
      <c r="B68" s="2" t="s">
        <v>134</v>
      </c>
      <c r="C68">
        <v>8311</v>
      </c>
      <c r="D68" t="s">
        <v>104</v>
      </c>
      <c r="E68">
        <v>48000</v>
      </c>
      <c r="F68">
        <v>87999</v>
      </c>
      <c r="G68">
        <v>10000</v>
      </c>
      <c r="H68">
        <v>46999</v>
      </c>
      <c r="I68" t="s">
        <v>223</v>
      </c>
      <c r="J68" s="5">
        <v>68000</v>
      </c>
      <c r="K68">
        <v>28500</v>
      </c>
      <c r="L68" t="s">
        <v>255</v>
      </c>
      <c r="M68" t="s">
        <v>256</v>
      </c>
      <c r="N68" t="s">
        <v>257</v>
      </c>
      <c r="O68" t="s">
        <v>258</v>
      </c>
      <c r="P68" t="s">
        <v>259</v>
      </c>
      <c r="Q68" t="s">
        <v>282</v>
      </c>
      <c r="R68" t="s">
        <v>283</v>
      </c>
      <c r="S68" t="s">
        <v>260</v>
      </c>
    </row>
    <row r="69" spans="1:19" x14ac:dyDescent="0.2">
      <c r="A69" t="s">
        <v>188</v>
      </c>
      <c r="B69" s="4" t="s">
        <v>189</v>
      </c>
      <c r="D69" t="s">
        <v>212</v>
      </c>
      <c r="E69">
        <v>40000</v>
      </c>
      <c r="F69">
        <v>69999</v>
      </c>
      <c r="G69">
        <v>50000</v>
      </c>
      <c r="H69">
        <v>91999</v>
      </c>
      <c r="I69" t="s">
        <v>212</v>
      </c>
      <c r="J69" s="5">
        <v>55000</v>
      </c>
      <c r="K69">
        <v>71000</v>
      </c>
      <c r="L69" t="s">
        <v>251</v>
      </c>
      <c r="M69" t="s">
        <v>252</v>
      </c>
      <c r="N69" t="s">
        <v>254</v>
      </c>
      <c r="O69" t="s">
        <v>253</v>
      </c>
    </row>
    <row r="70" spans="1:19" x14ac:dyDescent="0.2">
      <c r="A70" t="s">
        <v>202</v>
      </c>
      <c r="B70" t="s">
        <v>203</v>
      </c>
      <c r="D70" t="s">
        <v>209</v>
      </c>
      <c r="E70">
        <v>0</v>
      </c>
      <c r="F70">
        <v>39999</v>
      </c>
      <c r="G70">
        <v>10000</v>
      </c>
      <c r="H70">
        <v>39999</v>
      </c>
      <c r="I70" t="s">
        <v>209</v>
      </c>
      <c r="J70" s="5">
        <v>20000</v>
      </c>
      <c r="K70">
        <v>25000</v>
      </c>
      <c r="L70" t="s">
        <v>518</v>
      </c>
      <c r="M70" t="s">
        <v>519</v>
      </c>
      <c r="N70" t="s">
        <v>521</v>
      </c>
      <c r="O70" t="s">
        <v>520</v>
      </c>
    </row>
    <row r="71" spans="1:19" x14ac:dyDescent="0.2">
      <c r="A71" t="s">
        <v>100</v>
      </c>
      <c r="B71" t="s">
        <v>101</v>
      </c>
      <c r="C71">
        <v>8212</v>
      </c>
      <c r="D71" t="s">
        <v>97</v>
      </c>
      <c r="E71">
        <v>0</v>
      </c>
      <c r="F71">
        <v>39999</v>
      </c>
      <c r="G71">
        <v>0</v>
      </c>
      <c r="H71">
        <v>29999</v>
      </c>
      <c r="I71" t="s">
        <v>217</v>
      </c>
      <c r="J71" s="5">
        <v>20000</v>
      </c>
      <c r="K71">
        <v>15000</v>
      </c>
      <c r="L71" t="s">
        <v>522</v>
      </c>
      <c r="M71" t="s">
        <v>523</v>
      </c>
      <c r="N71" t="s">
        <v>525</v>
      </c>
      <c r="O71" t="s">
        <v>524</v>
      </c>
    </row>
    <row r="72" spans="1:19" x14ac:dyDescent="0.2">
      <c r="A72" t="s">
        <v>19</v>
      </c>
      <c r="B72" t="s">
        <v>20</v>
      </c>
      <c r="C72">
        <v>7912</v>
      </c>
      <c r="D72" t="s">
        <v>18</v>
      </c>
      <c r="E72">
        <v>40000</v>
      </c>
      <c r="F72">
        <v>79999</v>
      </c>
      <c r="G72">
        <v>30000</v>
      </c>
      <c r="H72">
        <v>59999</v>
      </c>
      <c r="I72" t="s">
        <v>218</v>
      </c>
      <c r="J72" s="5">
        <v>60000</v>
      </c>
      <c r="K72">
        <v>45000</v>
      </c>
      <c r="L72" t="s">
        <v>526</v>
      </c>
      <c r="M72" t="s">
        <v>527</v>
      </c>
      <c r="N72" t="s">
        <v>529</v>
      </c>
      <c r="O72" t="s">
        <v>528</v>
      </c>
    </row>
    <row r="73" spans="1:19" x14ac:dyDescent="0.2">
      <c r="A73" t="s">
        <v>79</v>
      </c>
      <c r="B73" t="s">
        <v>80</v>
      </c>
      <c r="C73">
        <v>8212</v>
      </c>
      <c r="D73" t="s">
        <v>54</v>
      </c>
      <c r="E73">
        <v>60000</v>
      </c>
      <c r="F73">
        <v>99999</v>
      </c>
      <c r="G73">
        <v>0</v>
      </c>
      <c r="H73">
        <v>29999</v>
      </c>
      <c r="I73" t="s">
        <v>216</v>
      </c>
      <c r="J73" s="5">
        <v>80000</v>
      </c>
      <c r="K73">
        <v>15000</v>
      </c>
      <c r="L73" t="s">
        <v>530</v>
      </c>
      <c r="M73" t="s">
        <v>531</v>
      </c>
      <c r="N73" t="s">
        <v>533</v>
      </c>
      <c r="O73" t="s">
        <v>532</v>
      </c>
    </row>
    <row r="74" spans="1:19" x14ac:dyDescent="0.2">
      <c r="A74" t="s">
        <v>105</v>
      </c>
      <c r="B74" t="s">
        <v>106</v>
      </c>
      <c r="C74">
        <v>8312</v>
      </c>
      <c r="D74" t="s">
        <v>104</v>
      </c>
      <c r="E74">
        <v>0</v>
      </c>
      <c r="F74">
        <v>39999</v>
      </c>
      <c r="G74">
        <v>40000</v>
      </c>
      <c r="H74">
        <v>69999</v>
      </c>
      <c r="I74" t="s">
        <v>223</v>
      </c>
      <c r="J74" s="5">
        <v>20000</v>
      </c>
      <c r="K74">
        <v>55000</v>
      </c>
      <c r="L74" t="s">
        <v>534</v>
      </c>
      <c r="M74" t="s">
        <v>535</v>
      </c>
      <c r="N74" t="s">
        <v>537</v>
      </c>
      <c r="O74" t="s">
        <v>536</v>
      </c>
    </row>
    <row r="75" spans="1:19" x14ac:dyDescent="0.2">
      <c r="A75" t="s">
        <v>64</v>
      </c>
      <c r="B75" t="s">
        <v>65</v>
      </c>
      <c r="C75">
        <v>8210</v>
      </c>
      <c r="D75" t="s">
        <v>61</v>
      </c>
      <c r="E75">
        <v>20000</v>
      </c>
      <c r="F75">
        <v>59999</v>
      </c>
      <c r="G75">
        <v>10000</v>
      </c>
      <c r="H75">
        <v>39999</v>
      </c>
      <c r="I75" t="s">
        <v>222</v>
      </c>
      <c r="J75" s="5">
        <v>40000</v>
      </c>
      <c r="K75">
        <v>25000</v>
      </c>
      <c r="L75" t="s">
        <v>538</v>
      </c>
      <c r="M75" t="s">
        <v>539</v>
      </c>
      <c r="N75" t="s">
        <v>541</v>
      </c>
      <c r="O75" t="s">
        <v>540</v>
      </c>
    </row>
    <row r="76" spans="1:19" x14ac:dyDescent="0.2">
      <c r="A76" t="s">
        <v>14</v>
      </c>
      <c r="B76" t="s">
        <v>15</v>
      </c>
      <c r="C76">
        <v>7915</v>
      </c>
      <c r="D76" t="s">
        <v>11</v>
      </c>
      <c r="E76">
        <v>40000</v>
      </c>
      <c r="F76">
        <v>79999</v>
      </c>
      <c r="G76">
        <v>90000</v>
      </c>
      <c r="H76">
        <v>19999</v>
      </c>
      <c r="I76" t="s">
        <v>212</v>
      </c>
      <c r="J76" s="5">
        <v>60000</v>
      </c>
      <c r="K76">
        <v>5000</v>
      </c>
      <c r="L76" t="s">
        <v>542</v>
      </c>
      <c r="M76" t="s">
        <v>543</v>
      </c>
      <c r="N76" t="s">
        <v>545</v>
      </c>
      <c r="O76" t="s">
        <v>544</v>
      </c>
    </row>
  </sheetData>
  <autoFilter ref="A1:O76" xr:uid="{00000000-0001-0000-0100-000000000000}">
    <sortState xmlns:xlrd2="http://schemas.microsoft.com/office/spreadsheetml/2017/richdata2" ref="A2:O76">
      <sortCondition ref="B1:B76"/>
    </sortState>
  </autoFilter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33"/>
  <sheetViews>
    <sheetView workbookViewId="0">
      <selection activeCell="D6" sqref="D6"/>
    </sheetView>
  </sheetViews>
  <sheetFormatPr baseColWidth="10" defaultRowHeight="16" x14ac:dyDescent="0.2"/>
  <sheetData>
    <row r="2" spans="1:11" x14ac:dyDescent="0.2">
      <c r="B2" t="s">
        <v>168</v>
      </c>
      <c r="C2" t="s">
        <v>169</v>
      </c>
      <c r="D2" t="s">
        <v>3</v>
      </c>
    </row>
    <row r="3" spans="1:11" x14ac:dyDescent="0.2">
      <c r="A3" s="1" t="s">
        <v>166</v>
      </c>
      <c r="B3">
        <v>20000</v>
      </c>
      <c r="C3">
        <v>59999</v>
      </c>
      <c r="D3" t="s">
        <v>206</v>
      </c>
    </row>
    <row r="4" spans="1:11" x14ac:dyDescent="0.2">
      <c r="A4" s="1" t="s">
        <v>167</v>
      </c>
      <c r="B4">
        <v>60000</v>
      </c>
      <c r="C4">
        <v>99999</v>
      </c>
      <c r="D4" t="s">
        <v>206</v>
      </c>
      <c r="I4" t="s">
        <v>212</v>
      </c>
      <c r="J4" t="s">
        <v>220</v>
      </c>
      <c r="K4" t="s">
        <v>219</v>
      </c>
    </row>
    <row r="5" spans="1:11" x14ac:dyDescent="0.2">
      <c r="A5" t="s">
        <v>160</v>
      </c>
      <c r="B5">
        <v>0</v>
      </c>
      <c r="C5">
        <f>MOD(C4+40000,100000)</f>
        <v>39999</v>
      </c>
      <c r="D5" t="s">
        <v>170</v>
      </c>
      <c r="I5" t="s">
        <v>218</v>
      </c>
      <c r="J5" t="s">
        <v>216</v>
      </c>
      <c r="K5" t="s">
        <v>217</v>
      </c>
    </row>
    <row r="6" spans="1:11" x14ac:dyDescent="0.2">
      <c r="A6" t="s">
        <v>162</v>
      </c>
      <c r="B6">
        <v>40000</v>
      </c>
      <c r="C6">
        <f t="shared" ref="C6" si="0">MOD(C5+40000,100000)</f>
        <v>79999</v>
      </c>
      <c r="D6" t="s">
        <v>170</v>
      </c>
      <c r="I6" t="s">
        <v>213</v>
      </c>
      <c r="J6" t="s">
        <v>222</v>
      </c>
      <c r="K6" t="s">
        <v>223</v>
      </c>
    </row>
    <row r="7" spans="1:11" x14ac:dyDescent="0.2">
      <c r="A7" t="s">
        <v>161</v>
      </c>
      <c r="B7">
        <v>80000</v>
      </c>
      <c r="C7">
        <v>19999</v>
      </c>
      <c r="D7" t="s">
        <v>170</v>
      </c>
      <c r="E7" t="s">
        <v>171</v>
      </c>
      <c r="J7" t="s">
        <v>215</v>
      </c>
    </row>
    <row r="8" spans="1:11" x14ac:dyDescent="0.2">
      <c r="A8" t="s">
        <v>163</v>
      </c>
      <c r="B8">
        <v>20000</v>
      </c>
      <c r="C8">
        <v>59999</v>
      </c>
      <c r="D8" t="s">
        <v>171</v>
      </c>
    </row>
    <row r="9" spans="1:11" x14ac:dyDescent="0.2">
      <c r="A9" t="s">
        <v>164</v>
      </c>
      <c r="B9">
        <v>60000</v>
      </c>
      <c r="C9">
        <v>99999</v>
      </c>
      <c r="D9" t="s">
        <v>171</v>
      </c>
    </row>
    <row r="10" spans="1:11" x14ac:dyDescent="0.2">
      <c r="A10" t="s">
        <v>165</v>
      </c>
      <c r="B10">
        <v>0</v>
      </c>
      <c r="C10">
        <f>MOD(C9+40000,100000)</f>
        <v>39999</v>
      </c>
      <c r="D10" t="s">
        <v>184</v>
      </c>
    </row>
    <row r="11" spans="1:11" x14ac:dyDescent="0.2">
      <c r="A11" t="s">
        <v>158</v>
      </c>
      <c r="B11">
        <v>40000</v>
      </c>
      <c r="C11">
        <f t="shared" ref="C11:C12" si="1">MOD(C10+40000,100000)</f>
        <v>79999</v>
      </c>
      <c r="D11" t="s">
        <v>184</v>
      </c>
    </row>
    <row r="12" spans="1:11" x14ac:dyDescent="0.2">
      <c r="A12" t="s">
        <v>159</v>
      </c>
      <c r="B12">
        <v>80000</v>
      </c>
      <c r="C12">
        <f t="shared" si="1"/>
        <v>19999</v>
      </c>
      <c r="D12" t="s">
        <v>184</v>
      </c>
      <c r="E12" t="s">
        <v>172</v>
      </c>
    </row>
    <row r="17" spans="1:5" x14ac:dyDescent="0.2">
      <c r="A17" t="s">
        <v>206</v>
      </c>
      <c r="B17">
        <v>30000</v>
      </c>
      <c r="C17">
        <v>59999</v>
      </c>
      <c r="D17" t="s">
        <v>182</v>
      </c>
    </row>
    <row r="18" spans="1:5" x14ac:dyDescent="0.2">
      <c r="A18" t="s">
        <v>170</v>
      </c>
      <c r="B18">
        <v>0</v>
      </c>
      <c r="C18">
        <v>29999</v>
      </c>
      <c r="D18" t="s">
        <v>182</v>
      </c>
    </row>
    <row r="19" spans="1:5" x14ac:dyDescent="0.2">
      <c r="A19" t="s">
        <v>171</v>
      </c>
      <c r="B19">
        <v>70000</v>
      </c>
      <c r="C19">
        <v>99999</v>
      </c>
      <c r="D19" t="s">
        <v>181</v>
      </c>
    </row>
    <row r="20" spans="1:5" x14ac:dyDescent="0.2">
      <c r="A20" t="s">
        <v>184</v>
      </c>
      <c r="B20">
        <v>40000</v>
      </c>
      <c r="C20">
        <v>69999</v>
      </c>
      <c r="D20" t="s">
        <v>181</v>
      </c>
    </row>
    <row r="21" spans="1:5" x14ac:dyDescent="0.2">
      <c r="A21" t="s">
        <v>172</v>
      </c>
      <c r="B21">
        <v>10000</v>
      </c>
      <c r="C21">
        <v>39999</v>
      </c>
      <c r="D21" t="s">
        <v>181</v>
      </c>
    </row>
    <row r="22" spans="1:5" x14ac:dyDescent="0.2">
      <c r="A22" t="s">
        <v>185</v>
      </c>
      <c r="B22">
        <v>80000</v>
      </c>
      <c r="C22">
        <v>9999</v>
      </c>
      <c r="D22" t="s">
        <v>180</v>
      </c>
      <c r="E22" t="s">
        <v>181</v>
      </c>
    </row>
    <row r="23" spans="1:5" x14ac:dyDescent="0.2">
      <c r="A23" t="s">
        <v>173</v>
      </c>
      <c r="B23">
        <v>50000</v>
      </c>
      <c r="C23">
        <v>79999</v>
      </c>
      <c r="D23" t="s">
        <v>180</v>
      </c>
    </row>
    <row r="24" spans="1:5" x14ac:dyDescent="0.2">
      <c r="A24" t="s">
        <v>174</v>
      </c>
      <c r="B24">
        <v>20000</v>
      </c>
      <c r="C24">
        <v>49999</v>
      </c>
      <c r="D24" t="s">
        <v>180</v>
      </c>
    </row>
    <row r="25" spans="1:5" x14ac:dyDescent="0.2">
      <c r="A25" t="s">
        <v>175</v>
      </c>
      <c r="B25">
        <v>90000</v>
      </c>
      <c r="C25">
        <v>19999</v>
      </c>
      <c r="D25" t="s">
        <v>179</v>
      </c>
      <c r="E25" t="s">
        <v>180</v>
      </c>
    </row>
    <row r="26" spans="1:5" x14ac:dyDescent="0.2">
      <c r="A26" t="s">
        <v>176</v>
      </c>
      <c r="B26">
        <v>60000</v>
      </c>
      <c r="C26">
        <v>89999</v>
      </c>
      <c r="D26" t="s">
        <v>179</v>
      </c>
    </row>
    <row r="27" spans="1:5" x14ac:dyDescent="0.2">
      <c r="A27" t="s">
        <v>177</v>
      </c>
      <c r="B27">
        <v>30000</v>
      </c>
      <c r="C27">
        <v>59999</v>
      </c>
      <c r="D27" t="s">
        <v>179</v>
      </c>
    </row>
    <row r="28" spans="1:5" x14ac:dyDescent="0.2">
      <c r="A28" t="s">
        <v>178</v>
      </c>
      <c r="B28">
        <v>0</v>
      </c>
      <c r="C28">
        <v>29999</v>
      </c>
      <c r="D28" t="s">
        <v>179</v>
      </c>
    </row>
    <row r="29" spans="1:5" x14ac:dyDescent="0.2">
      <c r="A29" t="s">
        <v>179</v>
      </c>
      <c r="B29">
        <v>70000</v>
      </c>
      <c r="C29">
        <v>99999</v>
      </c>
      <c r="D29" t="s">
        <v>178</v>
      </c>
    </row>
    <row r="30" spans="1:5" x14ac:dyDescent="0.2">
      <c r="A30" t="s">
        <v>180</v>
      </c>
      <c r="B30">
        <v>40000</v>
      </c>
      <c r="C30">
        <v>69999</v>
      </c>
      <c r="D30" t="s">
        <v>178</v>
      </c>
    </row>
    <row r="31" spans="1:5" x14ac:dyDescent="0.2">
      <c r="A31" t="s">
        <v>181</v>
      </c>
      <c r="B31">
        <v>10000</v>
      </c>
      <c r="C31">
        <v>39999</v>
      </c>
      <c r="D31" t="s">
        <v>178</v>
      </c>
    </row>
    <row r="32" spans="1:5" x14ac:dyDescent="0.2">
      <c r="A32" t="s">
        <v>182</v>
      </c>
      <c r="B32">
        <v>80000</v>
      </c>
      <c r="C32">
        <v>9999</v>
      </c>
      <c r="D32" t="s">
        <v>177</v>
      </c>
      <c r="E32" t="s">
        <v>178</v>
      </c>
    </row>
    <row r="33" spans="1:4" x14ac:dyDescent="0.2">
      <c r="A33" t="s">
        <v>183</v>
      </c>
      <c r="B33">
        <v>50000</v>
      </c>
      <c r="C33">
        <v>79999</v>
      </c>
      <c r="D33" t="s">
        <v>177</v>
      </c>
    </row>
  </sheetData>
  <sortState xmlns:xlrd2="http://schemas.microsoft.com/office/spreadsheetml/2017/richdata2" ref="A5:A70">
    <sortCondition ref="A5:A70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tasmap50k</vt:lpstr>
      <vt:lpstr>Working</vt:lpstr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Kladnig</dc:creator>
  <cp:lastModifiedBy>Adrian Kladnig</cp:lastModifiedBy>
  <dcterms:created xsi:type="dcterms:W3CDTF">2026-04-10T07:49:32Z</dcterms:created>
  <dcterms:modified xsi:type="dcterms:W3CDTF">2026-04-16T06:38:11Z</dcterms:modified>
</cp:coreProperties>
</file>
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1ABC20EF-EE77-004E-9527-E3E6F5D39C5E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3" i="2" l="1"/>
  <c r="N63" i="2"/>
  <c r="M63" i="2"/>
  <c r="L63" i="2"/>
  <c r="L51" i="2"/>
  <c r="M51" i="2"/>
  <c r="N51" i="2"/>
  <c r="O51" i="2"/>
  <c r="L54" i="2"/>
  <c r="M54" i="2"/>
  <c r="N54" i="2"/>
  <c r="O54" i="2"/>
  <c r="L26" i="2"/>
  <c r="M26" i="2"/>
  <c r="N26" i="2"/>
  <c r="O26" i="2"/>
  <c r="L7" i="2"/>
  <c r="M7" i="2"/>
  <c r="N7" i="2"/>
  <c r="O7" i="2"/>
  <c r="L6" i="2"/>
  <c r="M6" i="2"/>
  <c r="N6" i="2"/>
  <c r="O6" i="2"/>
  <c r="L76" i="2"/>
  <c r="M76" i="2"/>
  <c r="N76" i="2"/>
  <c r="O76" i="2"/>
  <c r="L9" i="2"/>
  <c r="M9" i="2"/>
  <c r="N9" i="2"/>
  <c r="O9" i="2"/>
  <c r="L44" i="2"/>
  <c r="M44" i="2"/>
  <c r="N44" i="2"/>
  <c r="O44" i="2"/>
  <c r="L2" i="2"/>
  <c r="M2" i="2"/>
  <c r="N2" i="2"/>
  <c r="O2" i="2"/>
  <c r="O13" i="2"/>
  <c r="N13" i="2"/>
  <c r="M13" i="2"/>
  <c r="L13" i="2"/>
  <c r="O42" i="2"/>
  <c r="O23" i="2"/>
  <c r="O46" i="2"/>
  <c r="O29" i="2"/>
  <c r="O47" i="2"/>
  <c r="O8" i="2"/>
  <c r="O5" i="2"/>
  <c r="O3" i="2"/>
  <c r="L3" i="2"/>
  <c r="O22" i="2"/>
  <c r="O48" i="2"/>
  <c r="O24" i="2"/>
  <c r="O28" i="2"/>
  <c r="O67" i="2"/>
  <c r="O25" i="2"/>
  <c r="O57" i="2"/>
  <c r="M23" i="2"/>
  <c r="M46" i="2"/>
  <c r="M29" i="2"/>
  <c r="M47" i="2"/>
  <c r="M8" i="2"/>
  <c r="M5" i="2"/>
  <c r="M3" i="2"/>
  <c r="M42" i="2"/>
  <c r="M22" i="2"/>
  <c r="M48" i="2"/>
  <c r="M24" i="2"/>
  <c r="M28" i="2"/>
  <c r="M67" i="2"/>
  <c r="M25" i="2"/>
  <c r="M57" i="2"/>
  <c r="N23" i="2"/>
  <c r="N46" i="2"/>
  <c r="N29" i="2"/>
  <c r="N47" i="2"/>
  <c r="N8" i="2"/>
  <c r="N5" i="2"/>
  <c r="N3" i="2"/>
  <c r="N42" i="2"/>
  <c r="L23" i="2"/>
  <c r="L46" i="2"/>
  <c r="L29" i="2"/>
  <c r="L47" i="2"/>
  <c r="L8" i="2"/>
  <c r="L5" i="2"/>
  <c r="L42" i="2"/>
  <c r="N22" i="2"/>
  <c r="N48" i="2"/>
  <c r="N24" i="2"/>
  <c r="N28" i="2"/>
  <c r="N67" i="2"/>
  <c r="N25" i="2"/>
  <c r="L22" i="2"/>
  <c r="L48" i="2"/>
  <c r="L24" i="2"/>
  <c r="L28" i="2"/>
  <c r="L67" i="2"/>
  <c r="L25" i="2"/>
  <c r="N57" i="2"/>
  <c r="L57" i="2"/>
  <c r="L15" i="2"/>
  <c r="M15" i="2"/>
  <c r="N15" i="2"/>
  <c r="O15" i="2"/>
  <c r="L32" i="2"/>
  <c r="M32" i="2"/>
  <c r="N32" i="2"/>
  <c r="O32" i="2"/>
  <c r="L39" i="2"/>
  <c r="M39" i="2"/>
  <c r="N39" i="2"/>
  <c r="O39" i="2"/>
  <c r="L72" i="2"/>
  <c r="M72" i="2"/>
  <c r="N72" i="2"/>
  <c r="O72" i="2"/>
  <c r="L41" i="2"/>
  <c r="M41" i="2"/>
  <c r="N41" i="2"/>
  <c r="O41" i="2"/>
  <c r="L45" i="2"/>
  <c r="M45" i="2"/>
  <c r="N45" i="2"/>
  <c r="O45" i="2"/>
  <c r="L60" i="2"/>
  <c r="M60" i="2"/>
  <c r="N60" i="2"/>
  <c r="O60" i="2"/>
  <c r="L69" i="2"/>
  <c r="M69" i="2"/>
  <c r="N69" i="2"/>
  <c r="O69" i="2"/>
  <c r="L59" i="2"/>
  <c r="M59" i="2"/>
  <c r="N59" i="2"/>
  <c r="O59" i="2"/>
  <c r="L70" i="2"/>
  <c r="M70" i="2"/>
  <c r="N70" i="2"/>
  <c r="O70" i="2"/>
  <c r="L64" i="2"/>
  <c r="M64" i="2"/>
  <c r="N64" i="2"/>
  <c r="O64" i="2"/>
  <c r="L20" i="2"/>
  <c r="M20" i="2"/>
  <c r="N20" i="2"/>
  <c r="O20" i="2"/>
  <c r="L38" i="2"/>
  <c r="M38" i="2"/>
  <c r="N38" i="2"/>
  <c r="O38" i="2"/>
  <c r="L75" i="2"/>
  <c r="M75" i="2"/>
  <c r="N75" i="2"/>
  <c r="O75" i="2"/>
  <c r="L43" i="2"/>
  <c r="M43" i="2"/>
  <c r="N43" i="2"/>
  <c r="O43" i="2"/>
  <c r="L62" i="2"/>
  <c r="M62" i="2"/>
  <c r="N62" i="2"/>
  <c r="O62" i="2"/>
  <c r="L31" i="2"/>
  <c r="M31" i="2"/>
  <c r="N31" i="2"/>
  <c r="O31" i="2"/>
  <c r="L34" i="2"/>
  <c r="M34" i="2"/>
  <c r="N34" i="2"/>
  <c r="O34" i="2"/>
  <c r="L65" i="2"/>
  <c r="M65" i="2"/>
  <c r="N65" i="2"/>
  <c r="O65" i="2"/>
  <c r="L36" i="2"/>
  <c r="M36" i="2"/>
  <c r="N36" i="2"/>
  <c r="O36" i="2"/>
  <c r="L14" i="2"/>
  <c r="M14" i="2"/>
  <c r="N14" i="2"/>
  <c r="O14" i="2"/>
  <c r="L53" i="2"/>
  <c r="M53" i="2"/>
  <c r="N53" i="2"/>
  <c r="O53" i="2"/>
  <c r="L73" i="2"/>
  <c r="M73" i="2"/>
  <c r="N73" i="2"/>
  <c r="O73" i="2"/>
  <c r="L52" i="2"/>
  <c r="M52" i="2"/>
  <c r="N52" i="2"/>
  <c r="O52" i="2"/>
  <c r="L18" i="2"/>
  <c r="M18" i="2"/>
  <c r="N18" i="2"/>
  <c r="O18" i="2"/>
  <c r="L19" i="2"/>
  <c r="M19" i="2"/>
  <c r="N19" i="2"/>
  <c r="O19" i="2"/>
  <c r="L30" i="2"/>
  <c r="M30" i="2"/>
  <c r="N30" i="2"/>
  <c r="O30" i="2"/>
  <c r="L74" i="2"/>
  <c r="M74" i="2"/>
  <c r="N74" i="2"/>
  <c r="O74" i="2"/>
  <c r="L17" i="2"/>
  <c r="M17" i="2"/>
  <c r="N17" i="2"/>
  <c r="O17" i="2"/>
  <c r="L58" i="2"/>
  <c r="M58" i="2"/>
  <c r="N58" i="2"/>
  <c r="O58" i="2"/>
  <c r="L27" i="2"/>
  <c r="M27" i="2"/>
  <c r="N27" i="2"/>
  <c r="O27" i="2"/>
  <c r="L68" i="2"/>
  <c r="M68" i="2"/>
  <c r="N68" i="2"/>
  <c r="O68" i="2"/>
  <c r="L33" i="2"/>
  <c r="M33" i="2"/>
  <c r="N33" i="2"/>
  <c r="O33" i="2"/>
  <c r="L21" i="2"/>
  <c r="M21" i="2"/>
  <c r="N21" i="2"/>
  <c r="O21" i="2"/>
  <c r="L71" i="2"/>
  <c r="M71" i="2"/>
  <c r="N71" i="2"/>
  <c r="O71" i="2"/>
  <c r="L4" i="2"/>
  <c r="M4" i="2"/>
  <c r="N4" i="2"/>
  <c r="O4" i="2"/>
  <c r="L37" i="2"/>
  <c r="M37" i="2"/>
  <c r="N37" i="2"/>
  <c r="O37" i="2"/>
  <c r="L66" i="2"/>
  <c r="M66" i="2"/>
  <c r="N66" i="2"/>
  <c r="O66" i="2"/>
  <c r="L50" i="2"/>
  <c r="M50" i="2"/>
  <c r="N50" i="2"/>
  <c r="O50" i="2"/>
  <c r="L61" i="2"/>
  <c r="M61" i="2"/>
  <c r="N61" i="2"/>
  <c r="O61" i="2"/>
  <c r="L12" i="2"/>
  <c r="M12" i="2"/>
  <c r="N12" i="2"/>
  <c r="O12" i="2"/>
  <c r="L40" i="2"/>
  <c r="M40" i="2"/>
  <c r="N40" i="2"/>
  <c r="O40" i="2"/>
  <c r="L56" i="2"/>
  <c r="M56" i="2"/>
  <c r="N56" i="2"/>
  <c r="O56" i="2"/>
  <c r="L35" i="2"/>
  <c r="M35" i="2"/>
  <c r="N35" i="2"/>
  <c r="O35" i="2"/>
  <c r="L11" i="2"/>
  <c r="M11" i="2"/>
  <c r="N11" i="2"/>
  <c r="O11" i="2"/>
  <c r="O16" i="2"/>
  <c r="N16" i="2"/>
  <c r="M16" i="2"/>
  <c r="L16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48" i="2"/>
  <c r="P3" i="2"/>
  <c r="P4" i="2"/>
  <c r="P5" i="2"/>
  <c r="P6" i="2"/>
  <c r="P7" i="2"/>
  <c r="P8" i="2"/>
  <c r="P9" i="2"/>
  <c r="P10" i="2"/>
  <c r="P11" i="2"/>
  <c r="P12" i="2"/>
  <c r="P74" i="2"/>
  <c r="P13" i="2"/>
  <c r="P48" i="2"/>
  <c r="P49" i="2"/>
  <c r="P14" i="2"/>
  <c r="P15" i="2"/>
  <c r="P16" i="2"/>
  <c r="P17" i="2"/>
  <c r="P18" i="2"/>
  <c r="P19" i="2"/>
  <c r="P50" i="2"/>
  <c r="P51" i="2"/>
  <c r="P52" i="2"/>
  <c r="P20" i="2"/>
  <c r="P21" i="2"/>
  <c r="P22" i="2"/>
  <c r="P23" i="2"/>
  <c r="P24" i="2"/>
  <c r="P25" i="2"/>
  <c r="P53" i="2"/>
  <c r="P54" i="2"/>
  <c r="P75" i="2"/>
  <c r="P26" i="2"/>
  <c r="P27" i="2"/>
  <c r="P28" i="2"/>
  <c r="P55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56" i="2"/>
  <c r="P57" i="2"/>
  <c r="P58" i="2"/>
  <c r="P59" i="2"/>
  <c r="P60" i="2"/>
  <c r="P61" i="2"/>
  <c r="P76" i="2"/>
  <c r="P62" i="2"/>
  <c r="P63" i="2"/>
  <c r="P64" i="2"/>
  <c r="P65" i="2"/>
  <c r="P66" i="2"/>
  <c r="P67" i="2"/>
  <c r="P68" i="2"/>
  <c r="P69" i="2"/>
  <c r="P70" i="2"/>
  <c r="P71" i="2"/>
  <c r="P72" i="2"/>
  <c r="P73" i="2"/>
  <c r="P2" i="2"/>
  <c r="K15" i="2"/>
  <c r="K11" i="2"/>
  <c r="K56" i="2"/>
  <c r="K5" i="2"/>
  <c r="K16" i="2"/>
  <c r="K70" i="2"/>
  <c r="K3" i="2"/>
  <c r="K13" i="2"/>
  <c r="K6" i="2"/>
  <c r="K45" i="2"/>
  <c r="K69" i="2"/>
  <c r="K67" i="2"/>
  <c r="K18" i="2"/>
  <c r="K50" i="2"/>
  <c r="K12" i="2"/>
  <c r="K47" i="2"/>
  <c r="K60" i="2"/>
  <c r="K59" i="2"/>
  <c r="K25" i="2"/>
  <c r="K52" i="2"/>
  <c r="K19" i="2"/>
  <c r="K61" i="2"/>
  <c r="K40" i="2"/>
  <c r="K8" i="2"/>
  <c r="K51" i="2"/>
  <c r="K76" i="2"/>
  <c r="K10" i="2"/>
  <c r="K26" i="2"/>
  <c r="K44" i="2"/>
  <c r="K54" i="2"/>
  <c r="K9" i="2"/>
  <c r="K49" i="2"/>
  <c r="K39" i="2"/>
  <c r="K48" i="2"/>
  <c r="K34" i="2"/>
  <c r="K14" i="2"/>
  <c r="K33" i="2"/>
  <c r="K4" i="2"/>
  <c r="K23" i="2"/>
  <c r="K72" i="2"/>
  <c r="K24" i="2"/>
  <c r="K65" i="2"/>
  <c r="K53" i="2"/>
  <c r="K21" i="2"/>
  <c r="K37" i="2"/>
  <c r="K46" i="2"/>
  <c r="K41" i="2"/>
  <c r="K28" i="2"/>
  <c r="K36" i="2"/>
  <c r="K73" i="2"/>
  <c r="K71" i="2"/>
  <c r="K66" i="2"/>
  <c r="K29" i="2"/>
  <c r="K32" i="2"/>
  <c r="K57" i="2"/>
  <c r="K20" i="2"/>
  <c r="K43" i="2"/>
  <c r="K30" i="2"/>
  <c r="K58" i="2"/>
  <c r="K42" i="2"/>
  <c r="K22" i="2"/>
  <c r="K38" i="2"/>
  <c r="K62" i="2"/>
  <c r="K74" i="2"/>
  <c r="K27" i="2"/>
  <c r="K75" i="2"/>
  <c r="K31" i="2"/>
  <c r="K17" i="2"/>
  <c r="K68" i="2"/>
  <c r="K55" i="2"/>
  <c r="K7" i="2"/>
  <c r="K2" i="2"/>
  <c r="K63" i="2"/>
  <c r="K64" i="2"/>
  <c r="K35" i="2"/>
  <c r="J15" i="2"/>
  <c r="J11" i="2"/>
  <c r="J56" i="2"/>
  <c r="J5" i="2"/>
  <c r="J16" i="2"/>
  <c r="J70" i="2"/>
  <c r="J3" i="2"/>
  <c r="J13" i="2"/>
  <c r="J6" i="2"/>
  <c r="J45" i="2"/>
  <c r="J69" i="2"/>
  <c r="J67" i="2"/>
  <c r="J18" i="2"/>
  <c r="J50" i="2"/>
  <c r="J12" i="2"/>
  <c r="J47" i="2"/>
  <c r="J60" i="2"/>
  <c r="J59" i="2"/>
  <c r="J25" i="2"/>
  <c r="J52" i="2"/>
  <c r="J19" i="2"/>
  <c r="J61" i="2"/>
  <c r="J40" i="2"/>
  <c r="J8" i="2"/>
  <c r="J51" i="2"/>
  <c r="J76" i="2"/>
  <c r="J10" i="2"/>
  <c r="J26" i="2"/>
  <c r="J44" i="2"/>
  <c r="J54" i="2"/>
  <c r="J9" i="2"/>
  <c r="J49" i="2"/>
  <c r="J39" i="2"/>
  <c r="J48" i="2"/>
  <c r="J34" i="2"/>
  <c r="J14" i="2"/>
  <c r="J33" i="2"/>
  <c r="J4" i="2"/>
  <c r="J23" i="2"/>
  <c r="J72" i="2"/>
  <c r="J24" i="2"/>
  <c r="J65" i="2"/>
  <c r="J53" i="2"/>
  <c r="J21" i="2"/>
  <c r="J37" i="2"/>
  <c r="J46" i="2"/>
  <c r="J41" i="2"/>
  <c r="J28" i="2"/>
  <c r="J36" i="2"/>
  <c r="J73" i="2"/>
  <c r="J71" i="2"/>
  <c r="J66" i="2"/>
  <c r="J29" i="2"/>
  <c r="J32" i="2"/>
  <c r="J57" i="2"/>
  <c r="J20" i="2"/>
  <c r="J43" i="2"/>
  <c r="J30" i="2"/>
  <c r="J58" i="2"/>
  <c r="J42" i="2"/>
  <c r="J22" i="2"/>
  <c r="J38" i="2"/>
  <c r="J62" i="2"/>
  <c r="J74" i="2"/>
  <c r="J27" i="2"/>
  <c r="J75" i="2"/>
  <c r="J31" i="2"/>
  <c r="J17" i="2"/>
  <c r="J68" i="2"/>
  <c r="J55" i="2"/>
  <c r="J7" i="2"/>
  <c r="J2" i="2"/>
  <c r="J63" i="2"/>
  <c r="J64" i="2"/>
  <c r="J35" i="2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<sst xmlns="http://schemas.openxmlformats.org/spreadsheetml/2006/main" count="687" uniqueCount="332">
  <si>
    <t>Series</t>
  </si>
  <si>
    <t>Name</t>
  </si>
  <si>
    <t>Parent</t>
  </si>
  <si>
    <t>MGRS</t>
  </si>
  <si>
    <t>Xmin</t>
  </si>
  <si>
    <t>Xmax</t>
  </si>
  <si>
    <t>Ymin</t>
  </si>
  <si>
    <t>Ymax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</si>
  <si>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</si>
  <si>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</si>
  <si>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</si>
  <si>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</si>
  <si>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</si>
  <si>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</si>
  <si>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</si>
  <si>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</si>
  <si>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</si>
  <si>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</si>
  <si>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</si>
  <si>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</si>
  <si>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</si>
  <si>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</si>
  <si>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</si>
  <si>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</si>
  <si>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</si>
  <si>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</si>
  <si>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</si>
  <si>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</si>
  <si>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</si>
  <si>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</si>
  <si>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</si>
  <si>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</si>
  <si>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</si>
  <si>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</si>
  <si>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</si>
  <si>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</si>
  <si>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</si>
  <si>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</si>
  <si>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</si>
  <si>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</si>
  <si>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</si>
  <si>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</si>
  <si>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</si>
  <si>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</si>
  <si>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</si>
  <si>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</si>
  <si>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</si>
  <si>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</si>
  <si>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</si>
  <si>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</si>
  <si>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</si>
  <si>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</si>
  <si>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</si>
  <si>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</si>
  <si>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</si>
  <si>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</si>
  <si>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</si>
  <si>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</si>
  <si>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</si>
  <si>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</si>
  <si>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</si>
  <si>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</si>
  <si>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</si>
  <si>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</si>
  <si>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</si>
  <si>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</si>
  <si>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</si>
  <si>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</si>
  <si>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</si>
  <si>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</si>
  <si>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</si>
  <si>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</si>
  <si>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 xml:space="preserve">DN  DM 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</si>
  <si>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</si>
  <si>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</si>
  <si>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</si>
  <si>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</si>
  <si>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</si>
  <si>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</si>
  <si>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</si>
  <si>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</si>
  <si>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</si>
  <si>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</si>
  <si>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</si>
  <si>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</si>
  <si>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</si>
  <si>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</si>
  <si>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</si>
  <si>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</si>
  <si>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</si>
  <si>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</si>
  <si>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</si>
  <si>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</si>
  <si>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</si>
  <si>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</si>
  <si>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</si>
  <si>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</si>
  <si>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</si>
  <si>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</si>
  <si>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</si>
  <si>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</si>
  <si>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</si>
  <si>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</si>
  <si>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</si>
  <si>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</si>
  <si>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</si>
  <si>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</si>
  <si>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</si>
  <si>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</si>
  <si>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</si>
  <si>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</si>
  <si>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</si>
  <si>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</si>
  <si>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</si>
  <si>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</si>
  <si>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</si>
  <si>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 xml:space="preserve">EN  EM 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</si>
  <si>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</si>
  <si>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</si>
  <si>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</si>
  <si>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</si>
  <si>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</si>
  <si>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</si>
  <si>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</si>
  <si>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</si>
  <si>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</si>
  <si>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</si>
  <si>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</si>
  <si>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</si>
  <si>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</si>
  <si>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</si>
  <si>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</si>
  <si>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</si>
  <si>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</si>
  <si>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</si>
  <si>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</si>
  <si>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</si>
  <si>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</si>
  <si>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</si>
  <si>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</si>
  <si>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</si>
  <si>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</si>
  <si>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</si>
  <si>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</si>
  <si>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</si>
  <si>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</si>
  <si>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</si>
  <si>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</si>
  <si>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</si>
  <si>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</si>
  <si>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</si>
  <si>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</si>
  <si>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</si>
  <si>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</si>
  <si>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</si>
  <si>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</si>
  <si>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</si>
  <si>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</si>
  <si>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</si>
  <si>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</si>
  <si>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</si>
  <si>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</si>
  <si>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</si>
  <si>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</si>
  <si>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</si>
  <si>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</si>
  <si>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</si>
  <si>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</si>
  <si>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</si>
  <si>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</si>
  <si>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</si>
  <si>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</si>
  <si>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</si>
  <si>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</si>
  <si>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</si>
  <si>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</si>
  <si>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</si>
  <si>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</si>
  <si>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</si>
  <si>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</si>
  <si>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</si>
  <si>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</si>
  <si>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</si>
  <si>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</si>
  <si>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</si>
  <si>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</si>
  <si>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</si>
  <si>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</si>
  <si>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</si>
  <si>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</si>
  <si>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</si>
  <si>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</si>
  <si>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</si>
  <si>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</si>
  <si>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</si>
  <si>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</si>
  <si>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</si>
  <si>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</si>
  <si>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</si>
  <si>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</si>
  <si>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</si>
  <si>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</si>
  <si>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</si>
  <si>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</si>
  <si>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</si>
  <si>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</si>
  <si>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</si>
  <si>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</si>
  <si>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</si>
  <si>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</si>
  <si>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</si>
  <si>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</si>
  <si>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</si>
  <si>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</si>
  <si>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</si>
  <si>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</si>
  <si>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</si>
  <si>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</si>
  <si>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</si>
  <si>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</si>
  <si>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</si>
  <si>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</si>
  <si>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</si>
  <si>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</si>
  <si>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</si>
  <si>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</si>
  <si>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</si>
  <si>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</si>
  <si>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</si>
  <si>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</si>
  <si>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</si>
  <si>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</si>
  <si>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FN</t>
  </si>
  <si>
    <t>FP</t>
  </si>
  <si>
    <t>FQ</t>
  </si>
  <si>
    <t>FR</t>
  </si>
  <si>
    <t>TL</t>
  </si>
  <si>
    <t>TR</t>
  </si>
  <si>
    <t>BL</t>
  </si>
  <si>
    <t>LEN</t>
  </si>
  <si>
    <t>CN8000009999</t>
  </si>
  <si>
    <t>DN1999909999</t>
  </si>
  <si>
    <t>CM8000080000</t>
  </si>
  <si>
    <t>DM1999980000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</si>
  <si>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</si>
  <si>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</si>
  <si>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</si>
  <si>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</si>
  <si>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</si>
  <si>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</si>
  <si>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</si>
  <si>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</si>
  <si>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</si>
  <si>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</si>
  <si>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</si>
  <si>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</si>
  <si>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</si>
  <si>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</si>
  <si>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</si>
  <si>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</si>
  <si>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</si>
  <si>
    <t>Left</t>
  </si>
  <si>
    <t>Right</t>
  </si>
  <si>
    <t>Top</t>
  </si>
  <si>
    <t>Bottom</t>
  </si>
  <si>
    <t>DN54</t>
  </si>
  <si>
    <t>DN99</t>
  </si>
  <si>
    <t>DN38</t>
  </si>
  <si>
    <t>BQ98</t>
  </si>
  <si>
    <t>CQ40</t>
  </si>
  <si>
    <t>BQ79</t>
  </si>
  <si>
    <t>CQ50</t>
  </si>
  <si>
    <t>DM20</t>
  </si>
  <si>
    <t>DM99</t>
  </si>
  <si>
    <t>DM64</t>
  </si>
  <si>
    <t>DM79</t>
  </si>
  <si>
    <t>CQ39</t>
  </si>
  <si>
    <t>DN79</t>
  </si>
  <si>
    <t>CN9039</t>
  </si>
  <si>
    <t>DN1939</t>
  </si>
  <si>
    <t>CM9098</t>
  </si>
  <si>
    <t>DM1998</t>
  </si>
  <si>
    <t>DM1185</t>
  </si>
  <si>
    <t>DM1197</t>
  </si>
  <si>
    <t>DM1997</t>
  </si>
  <si>
    <t>DM1985</t>
  </si>
  <si>
    <t>DM3239</t>
  </si>
  <si>
    <t>DM8939</t>
  </si>
  <si>
    <t>DM8432</t>
  </si>
  <si>
    <t>DM8932</t>
  </si>
  <si>
    <t>CQ69</t>
  </si>
  <si>
    <t>CQ91</t>
  </si>
  <si>
    <t>EN48</t>
  </si>
  <si>
    <t>EN87</t>
  </si>
  <si>
    <t>EN39</t>
  </si>
  <si>
    <t>EN10</t>
  </si>
  <si>
    <t>DN 54000 99999</t>
  </si>
  <si>
    <t>DN 79999 99999</t>
  </si>
  <si>
    <t>DN 79999 38000</t>
  </si>
  <si>
    <t>DN 76000 38000</t>
  </si>
  <si>
    <t>DN 76000 40000</t>
  </si>
  <si>
    <t>DN 67000 40000</t>
  </si>
  <si>
    <t>DN 67000 70000</t>
  </si>
  <si>
    <t>DN 54000 70000</t>
  </si>
  <si>
    <t>BQ 98000 79999</t>
  </si>
  <si>
    <t>CQ 39999 79999</t>
  </si>
  <si>
    <t>CQ 39999 50000</t>
  </si>
  <si>
    <t>BQ 98000 50000</t>
  </si>
  <si>
    <t>CQ 40000 91999</t>
  </si>
  <si>
    <t>CQ 69999 91999</t>
  </si>
  <si>
    <t>CQ 40000 50000</t>
  </si>
  <si>
    <t>CQ 69999 50000</t>
  </si>
  <si>
    <t>EN 48000 39999</t>
  </si>
  <si>
    <t>EN 51000 39999</t>
  </si>
  <si>
    <t>EN 51000 46999</t>
  </si>
  <si>
    <t>EN 60000 46999</t>
  </si>
  <si>
    <t>EN 60000 39999</t>
  </si>
  <si>
    <t>EN 87000 39999</t>
  </si>
  <si>
    <t>EN 87000 10000</t>
  </si>
  <si>
    <t>EN 48000 10000</t>
  </si>
  <si>
    <t>DM 20000 79999</t>
  </si>
  <si>
    <t>DM 99999 79999</t>
  </si>
  <si>
    <t>DM 20000 64000</t>
  </si>
  <si>
    <t>DM 60000 64000</t>
  </si>
  <si>
    <t>DM 60000 67000</t>
  </si>
  <si>
    <t>DM 99999 67000</t>
  </si>
  <si>
    <t>CQ 10000 19999</t>
  </si>
  <si>
    <t>CQ 39999 19999</t>
  </si>
  <si>
    <t>CP 39999 64000</t>
  </si>
  <si>
    <t>CP 30000 64000</t>
  </si>
  <si>
    <t>CP 30000 78000</t>
  </si>
  <si>
    <t>CP 10000 78000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</si>
</sst>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quotePrefix="1"/>
    <xf numFmtId="0" fontId="8" fillId="4" borderId="0" xfId="8"/>
    <xf numFmtId="0" fontId="7" fillId="3" borderId="0" xfId="7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 patternType="solid">
          <fgColor rgb="FFFFC7CE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workbookViewId="0">
      <selection activeCell="M17" sqref="M17"/>
    </sheetView>
  </sheetViews>
  <sheetFormatPr baseColWidth="10" defaultRowHeight="16" x14ac:dyDescent="0.2"/>
  <cols>
    <col min="2" max="2" width="1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117</v>
      </c>
      <c r="B2" t="s">
        <v>118</v>
      </c>
      <c r="C2">
        <v>7816</v>
      </c>
      <c r="D2" t="s">
        <v>119</v>
      </c>
      <c r="E2">
        <v>40000</v>
      </c>
      <c r="F2">
        <v>80000</v>
      </c>
      <c r="G2">
        <v>0</v>
      </c>
      <c r="H2">
        <v>99999</v>
      </c>
    </row>
    <row r="3" spans="1:8" x14ac:dyDescent="0.2">
      <c r="A3" t="s">
        <v>120</v>
      </c>
      <c r="B3" t="s">
        <v>121</v>
      </c>
      <c r="C3">
        <v>8517</v>
      </c>
      <c r="D3" t="s">
        <v>122</v>
      </c>
      <c r="E3">
        <v>40000</v>
      </c>
      <c r="F3">
        <v>80000</v>
      </c>
      <c r="G3">
        <v>70000</v>
      </c>
      <c r="H3">
        <v>99999</v>
      </c>
    </row>
    <row r="4" spans="1:8" x14ac:dyDescent="0.2">
      <c r="A4" t="s">
        <v>141</v>
      </c>
      <c r="B4" t="s">
        <v>142</v>
      </c>
      <c r="C4">
        <v>8517</v>
      </c>
      <c r="D4" t="s">
        <v>143</v>
      </c>
      <c r="E4">
        <v>80000</v>
      </c>
      <c r="F4">
        <v>20000</v>
      </c>
      <c r="G4">
        <v>70000</v>
      </c>
      <c r="H4">
        <v>0</v>
      </c>
    </row>
    <row r="5" spans="1:8" x14ac:dyDescent="0.2">
      <c r="A5" t="s">
        <v>144</v>
      </c>
      <c r="B5" t="s">
        <v>145</v>
      </c>
      <c r="C5">
        <v>7916</v>
      </c>
      <c r="D5" t="s">
        <v>143</v>
      </c>
      <c r="E5">
        <v>80000</v>
      </c>
      <c r="F5">
        <v>20000</v>
      </c>
      <c r="G5">
        <v>10000</v>
      </c>
      <c r="H5">
        <v>40000</v>
      </c>
    </row>
    <row r="6" spans="1:8" x14ac:dyDescent="0.2">
      <c r="A6" t="s">
        <v>8</v>
      </c>
      <c r="B6" t="s">
        <v>9</v>
      </c>
      <c r="C6">
        <v>7916</v>
      </c>
      <c r="D6" t="s">
        <v>10</v>
      </c>
      <c r="E6">
        <v>0</v>
      </c>
      <c r="F6">
        <v>40000</v>
      </c>
      <c r="G6">
        <v>50000</v>
      </c>
      <c r="H6">
        <v>80000</v>
      </c>
    </row>
    <row r="7" spans="1:8" x14ac:dyDescent="0.2">
      <c r="A7" t="s">
        <v>27</v>
      </c>
      <c r="B7" t="s">
        <v>28</v>
      </c>
      <c r="C7">
        <v>7916</v>
      </c>
      <c r="D7" t="s">
        <v>29</v>
      </c>
      <c r="E7">
        <v>80000</v>
      </c>
      <c r="F7">
        <v>20000</v>
      </c>
      <c r="G7">
        <v>50000</v>
      </c>
      <c r="H7">
        <v>80000</v>
      </c>
    </row>
    <row r="8" spans="1:8" x14ac:dyDescent="0.2">
      <c r="A8" t="s">
        <v>123</v>
      </c>
      <c r="B8" t="s">
        <v>124</v>
      </c>
      <c r="C8">
        <v>8517</v>
      </c>
      <c r="D8" t="s">
        <v>96</v>
      </c>
      <c r="E8">
        <v>40000</v>
      </c>
      <c r="F8">
        <v>80000</v>
      </c>
      <c r="G8">
        <v>50000</v>
      </c>
      <c r="H8">
        <v>80000</v>
      </c>
    </row>
    <row r="9" spans="1:8" x14ac:dyDescent="0.2">
      <c r="A9" t="s">
        <v>146</v>
      </c>
      <c r="B9" t="s">
        <v>147</v>
      </c>
      <c r="C9">
        <v>8517</v>
      </c>
      <c r="D9" t="s">
        <v>148</v>
      </c>
      <c r="E9">
        <v>80000</v>
      </c>
      <c r="F9">
        <v>20000</v>
      </c>
      <c r="G9">
        <v>50000</v>
      </c>
      <c r="H9">
        <v>80000</v>
      </c>
    </row>
    <row r="10" spans="1:8" x14ac:dyDescent="0.2">
      <c r="A10" t="s">
        <v>11</v>
      </c>
      <c r="B10" t="s">
        <v>12</v>
      </c>
      <c r="C10">
        <v>8514</v>
      </c>
      <c r="D10" t="s">
        <v>10</v>
      </c>
      <c r="E10">
        <v>0</v>
      </c>
      <c r="F10">
        <v>40000</v>
      </c>
      <c r="G10">
        <v>20000</v>
      </c>
      <c r="H10">
        <v>50000</v>
      </c>
    </row>
    <row r="11" spans="1:8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80000</v>
      </c>
      <c r="G11">
        <v>20000</v>
      </c>
      <c r="H11">
        <v>50000</v>
      </c>
    </row>
    <row r="12" spans="1:8" x14ac:dyDescent="0.2">
      <c r="A12" t="s">
        <v>30</v>
      </c>
      <c r="B12" t="s">
        <v>31</v>
      </c>
      <c r="C12">
        <v>8114</v>
      </c>
      <c r="D12" t="s">
        <v>29</v>
      </c>
      <c r="E12">
        <v>80000</v>
      </c>
      <c r="F12">
        <v>20000</v>
      </c>
      <c r="G12">
        <v>20000</v>
      </c>
      <c r="H12">
        <v>50000</v>
      </c>
    </row>
    <row r="13" spans="1:8" x14ac:dyDescent="0.2">
      <c r="A13" t="s">
        <v>50</v>
      </c>
      <c r="B13" t="s">
        <v>51</v>
      </c>
      <c r="C13">
        <v>8114</v>
      </c>
      <c r="D13" t="s">
        <v>52</v>
      </c>
      <c r="E13">
        <v>20000</v>
      </c>
      <c r="F13">
        <v>60000</v>
      </c>
      <c r="G13">
        <v>20000</v>
      </c>
      <c r="H13">
        <v>50000</v>
      </c>
    </row>
    <row r="14" spans="1:8" x14ac:dyDescent="0.2">
      <c r="A14" t="s">
        <v>76</v>
      </c>
      <c r="B14" t="s">
        <v>77</v>
      </c>
      <c r="C14">
        <v>8114</v>
      </c>
      <c r="D14" t="s">
        <v>52</v>
      </c>
      <c r="E14">
        <v>60000</v>
      </c>
      <c r="F14">
        <v>99999</v>
      </c>
      <c r="G14">
        <v>20000</v>
      </c>
      <c r="H14">
        <v>50000</v>
      </c>
    </row>
    <row r="15" spans="1:8" x14ac:dyDescent="0.2">
      <c r="A15" t="s">
        <v>94</v>
      </c>
      <c r="B15" t="s">
        <v>95</v>
      </c>
      <c r="C15">
        <v>8214</v>
      </c>
      <c r="D15" t="s">
        <v>96</v>
      </c>
      <c r="E15">
        <v>0</v>
      </c>
      <c r="F15">
        <v>40000</v>
      </c>
      <c r="G15">
        <v>20000</v>
      </c>
      <c r="H15">
        <v>50000</v>
      </c>
    </row>
    <row r="16" spans="1:8" x14ac:dyDescent="0.2">
      <c r="A16" t="s">
        <v>125</v>
      </c>
      <c r="B16" t="s">
        <v>126</v>
      </c>
      <c r="C16">
        <v>8416</v>
      </c>
      <c r="D16" t="s">
        <v>96</v>
      </c>
      <c r="E16">
        <v>40000</v>
      </c>
      <c r="F16">
        <v>80000</v>
      </c>
      <c r="G16">
        <v>20000</v>
      </c>
      <c r="H16">
        <v>50000</v>
      </c>
    </row>
    <row r="17" spans="1:8" x14ac:dyDescent="0.2">
      <c r="A17" t="s">
        <v>149</v>
      </c>
      <c r="B17" t="s">
        <v>150</v>
      </c>
      <c r="C17">
        <v>8514</v>
      </c>
      <c r="D17" t="s">
        <v>148</v>
      </c>
      <c r="E17">
        <v>80000</v>
      </c>
      <c r="F17">
        <v>20000</v>
      </c>
      <c r="G17">
        <v>20000</v>
      </c>
      <c r="H17">
        <v>50000</v>
      </c>
    </row>
    <row r="18" spans="1:8" x14ac:dyDescent="0.2">
      <c r="A18" t="s">
        <v>13</v>
      </c>
      <c r="B18" t="s">
        <v>14</v>
      </c>
      <c r="C18">
        <v>7915</v>
      </c>
      <c r="D18" t="s">
        <v>15</v>
      </c>
      <c r="E18">
        <v>0</v>
      </c>
      <c r="F18">
        <v>40000</v>
      </c>
      <c r="G18">
        <v>90000</v>
      </c>
      <c r="H18">
        <v>20000</v>
      </c>
    </row>
    <row r="19" spans="1:8" x14ac:dyDescent="0.2">
      <c r="A19" t="s">
        <v>18</v>
      </c>
      <c r="B19" t="s">
        <v>19</v>
      </c>
      <c r="C19">
        <v>7915</v>
      </c>
      <c r="D19" t="s">
        <v>15</v>
      </c>
      <c r="E19">
        <v>40000</v>
      </c>
      <c r="F19">
        <v>80000</v>
      </c>
      <c r="G19">
        <v>90000</v>
      </c>
      <c r="H19">
        <v>20000</v>
      </c>
    </row>
    <row r="20" spans="1:8" x14ac:dyDescent="0.2">
      <c r="A20" t="s">
        <v>32</v>
      </c>
      <c r="B20" t="s">
        <v>33</v>
      </c>
      <c r="C20">
        <v>7914</v>
      </c>
      <c r="D20" t="s">
        <v>34</v>
      </c>
      <c r="E20">
        <v>80000</v>
      </c>
      <c r="F20">
        <v>20000</v>
      </c>
      <c r="G20">
        <v>90000</v>
      </c>
      <c r="H20">
        <v>20000</v>
      </c>
    </row>
    <row r="21" spans="1:8" x14ac:dyDescent="0.2">
      <c r="A21" t="s">
        <v>53</v>
      </c>
      <c r="B21" t="s">
        <v>54</v>
      </c>
      <c r="C21">
        <v>8113</v>
      </c>
      <c r="D21" t="s">
        <v>55</v>
      </c>
      <c r="E21">
        <v>20000</v>
      </c>
      <c r="F21">
        <v>60000</v>
      </c>
      <c r="G21">
        <v>90000</v>
      </c>
      <c r="H21">
        <v>20000</v>
      </c>
    </row>
    <row r="22" spans="1:8" x14ac:dyDescent="0.2">
      <c r="A22" t="s">
        <v>78</v>
      </c>
      <c r="B22" t="s">
        <v>79</v>
      </c>
      <c r="C22">
        <v>8114</v>
      </c>
      <c r="D22" t="s">
        <v>55</v>
      </c>
      <c r="E22">
        <v>60000</v>
      </c>
      <c r="F22">
        <v>99999</v>
      </c>
      <c r="G22">
        <v>90000</v>
      </c>
      <c r="H22">
        <v>99999</v>
      </c>
    </row>
    <row r="23" spans="1:8" x14ac:dyDescent="0.2">
      <c r="A23" t="s">
        <v>97</v>
      </c>
      <c r="B23" t="s">
        <v>98</v>
      </c>
      <c r="C23">
        <v>8114</v>
      </c>
      <c r="D23" t="s">
        <v>99</v>
      </c>
      <c r="E23">
        <v>0</v>
      </c>
      <c r="F23">
        <v>40000</v>
      </c>
      <c r="G23">
        <v>90000</v>
      </c>
      <c r="H23">
        <v>20000</v>
      </c>
    </row>
    <row r="24" spans="1:8" x14ac:dyDescent="0.2">
      <c r="A24" t="s">
        <v>127</v>
      </c>
      <c r="B24" t="s">
        <v>128</v>
      </c>
      <c r="C24">
        <v>8414</v>
      </c>
      <c r="D24" t="s">
        <v>99</v>
      </c>
      <c r="E24">
        <v>40000</v>
      </c>
      <c r="F24">
        <v>80000</v>
      </c>
      <c r="G24">
        <v>90000</v>
      </c>
      <c r="H24">
        <v>20000</v>
      </c>
    </row>
    <row r="25" spans="1:8" x14ac:dyDescent="0.2">
      <c r="A25" t="s">
        <v>151</v>
      </c>
      <c r="B25" t="s">
        <v>152</v>
      </c>
      <c r="C25">
        <v>8416</v>
      </c>
      <c r="D25" t="s">
        <v>153</v>
      </c>
      <c r="E25">
        <v>80000</v>
      </c>
      <c r="F25">
        <v>20000</v>
      </c>
      <c r="G25">
        <v>90000</v>
      </c>
      <c r="H25">
        <v>20000</v>
      </c>
    </row>
    <row r="26" spans="1:8" x14ac:dyDescent="0.2">
      <c r="A26" t="s">
        <v>20</v>
      </c>
      <c r="B26" t="s">
        <v>21</v>
      </c>
      <c r="C26">
        <v>7914</v>
      </c>
      <c r="D26" t="s">
        <v>22</v>
      </c>
      <c r="E26">
        <v>40000</v>
      </c>
      <c r="F26">
        <v>80000</v>
      </c>
      <c r="G26">
        <v>60000</v>
      </c>
      <c r="H26">
        <v>90000</v>
      </c>
    </row>
    <row r="27" spans="1:8" x14ac:dyDescent="0.2">
      <c r="A27" t="s">
        <v>35</v>
      </c>
      <c r="B27" t="s">
        <v>36</v>
      </c>
      <c r="C27">
        <v>8113</v>
      </c>
      <c r="D27" t="s">
        <v>37</v>
      </c>
      <c r="E27">
        <v>80000</v>
      </c>
      <c r="F27">
        <v>20000</v>
      </c>
      <c r="G27">
        <v>60000</v>
      </c>
      <c r="H27">
        <v>90000</v>
      </c>
    </row>
    <row r="28" spans="1:8" x14ac:dyDescent="0.2">
      <c r="A28" t="s">
        <v>56</v>
      </c>
      <c r="B28" t="s">
        <v>57</v>
      </c>
      <c r="C28">
        <v>8114</v>
      </c>
      <c r="D28" t="s">
        <v>58</v>
      </c>
      <c r="E28">
        <v>20000</v>
      </c>
      <c r="F28">
        <v>60000</v>
      </c>
      <c r="G28">
        <v>60000</v>
      </c>
      <c r="H28">
        <v>90000</v>
      </c>
    </row>
    <row r="29" spans="1:8" x14ac:dyDescent="0.2">
      <c r="A29" t="s">
        <v>80</v>
      </c>
      <c r="B29" t="s">
        <v>81</v>
      </c>
      <c r="C29">
        <v>8213</v>
      </c>
      <c r="D29" t="s">
        <v>58</v>
      </c>
      <c r="E29">
        <v>60000</v>
      </c>
      <c r="F29">
        <v>99999</v>
      </c>
      <c r="G29">
        <v>60000</v>
      </c>
      <c r="H29">
        <v>99999</v>
      </c>
    </row>
    <row r="30" spans="1:8" x14ac:dyDescent="0.2">
      <c r="A30" t="s">
        <v>100</v>
      </c>
      <c r="B30" t="s">
        <v>101</v>
      </c>
      <c r="C30">
        <v>8213</v>
      </c>
      <c r="D30" t="s">
        <v>102</v>
      </c>
      <c r="E30">
        <v>0</v>
      </c>
      <c r="F30">
        <v>40000</v>
      </c>
      <c r="G30">
        <v>60000</v>
      </c>
      <c r="H30">
        <v>90000</v>
      </c>
    </row>
    <row r="31" spans="1:8" x14ac:dyDescent="0.2">
      <c r="A31" t="s">
        <v>129</v>
      </c>
      <c r="B31" t="s">
        <v>130</v>
      </c>
      <c r="C31">
        <v>8214</v>
      </c>
      <c r="D31" t="s">
        <v>102</v>
      </c>
      <c r="E31">
        <v>40000</v>
      </c>
      <c r="F31">
        <v>80000</v>
      </c>
      <c r="G31">
        <v>60000</v>
      </c>
      <c r="H31">
        <v>90000</v>
      </c>
    </row>
    <row r="32" spans="1:8" x14ac:dyDescent="0.2">
      <c r="A32" t="s">
        <v>154</v>
      </c>
      <c r="B32" t="s">
        <v>155</v>
      </c>
      <c r="C32">
        <v>8411</v>
      </c>
      <c r="D32" t="s">
        <v>156</v>
      </c>
      <c r="E32">
        <v>80000</v>
      </c>
      <c r="F32">
        <v>20000</v>
      </c>
      <c r="G32">
        <v>60000</v>
      </c>
      <c r="H32">
        <v>90000</v>
      </c>
    </row>
    <row r="33" spans="1:8" x14ac:dyDescent="0.2">
      <c r="A33" t="s">
        <v>23</v>
      </c>
      <c r="B33" t="s">
        <v>24</v>
      </c>
      <c r="C33">
        <v>7912</v>
      </c>
      <c r="D33" t="s">
        <v>22</v>
      </c>
      <c r="E33">
        <v>40000</v>
      </c>
      <c r="F33">
        <v>80000</v>
      </c>
      <c r="G33">
        <v>30000</v>
      </c>
      <c r="H33">
        <v>60000</v>
      </c>
    </row>
    <row r="34" spans="1:8" x14ac:dyDescent="0.2">
      <c r="A34" t="s">
        <v>38</v>
      </c>
      <c r="B34" t="s">
        <v>39</v>
      </c>
      <c r="C34">
        <v>8113</v>
      </c>
      <c r="D34" t="s">
        <v>37</v>
      </c>
      <c r="E34">
        <v>80000</v>
      </c>
      <c r="F34">
        <v>20000</v>
      </c>
      <c r="G34">
        <v>30000</v>
      </c>
      <c r="H34">
        <v>60000</v>
      </c>
    </row>
    <row r="35" spans="1:8" x14ac:dyDescent="0.2">
      <c r="A35" t="s">
        <v>59</v>
      </c>
      <c r="B35" t="s">
        <v>60</v>
      </c>
      <c r="C35">
        <v>8212</v>
      </c>
      <c r="D35" t="s">
        <v>58</v>
      </c>
      <c r="E35">
        <v>20000</v>
      </c>
      <c r="F35">
        <v>60000</v>
      </c>
      <c r="G35">
        <v>30000</v>
      </c>
      <c r="H35">
        <v>60000</v>
      </c>
    </row>
    <row r="36" spans="1:8" x14ac:dyDescent="0.2">
      <c r="A36" t="s">
        <v>82</v>
      </c>
      <c r="B36" t="s">
        <v>83</v>
      </c>
      <c r="C36">
        <v>8212</v>
      </c>
      <c r="D36" t="s">
        <v>58</v>
      </c>
      <c r="E36">
        <v>60000</v>
      </c>
      <c r="F36">
        <v>99999</v>
      </c>
      <c r="G36">
        <v>30000</v>
      </c>
      <c r="H36">
        <v>60000</v>
      </c>
    </row>
    <row r="37" spans="1:8" x14ac:dyDescent="0.2">
      <c r="A37" t="s">
        <v>103</v>
      </c>
      <c r="B37" t="s">
        <v>104</v>
      </c>
      <c r="C37">
        <v>8311</v>
      </c>
      <c r="D37" t="s">
        <v>102</v>
      </c>
      <c r="E37">
        <v>0</v>
      </c>
      <c r="F37">
        <v>40000</v>
      </c>
      <c r="G37">
        <v>30000</v>
      </c>
      <c r="H37">
        <v>60000</v>
      </c>
    </row>
    <row r="38" spans="1:8" x14ac:dyDescent="0.2">
      <c r="A38" t="s">
        <v>131</v>
      </c>
      <c r="B38" t="s">
        <v>132</v>
      </c>
      <c r="C38">
        <v>8213</v>
      </c>
      <c r="D38" t="s">
        <v>102</v>
      </c>
      <c r="E38">
        <v>40000</v>
      </c>
      <c r="F38">
        <v>80000</v>
      </c>
      <c r="G38">
        <v>30000</v>
      </c>
      <c r="H38">
        <v>60000</v>
      </c>
    </row>
    <row r="39" spans="1:8" x14ac:dyDescent="0.2">
      <c r="A39" t="s">
        <v>157</v>
      </c>
      <c r="B39" t="s">
        <v>158</v>
      </c>
      <c r="C39">
        <v>8514</v>
      </c>
      <c r="D39" t="s">
        <v>156</v>
      </c>
      <c r="E39">
        <v>80000</v>
      </c>
      <c r="F39">
        <v>20000</v>
      </c>
      <c r="G39">
        <v>30000</v>
      </c>
      <c r="H39">
        <v>60000</v>
      </c>
    </row>
    <row r="40" spans="1:8" x14ac:dyDescent="0.2">
      <c r="A40" t="s">
        <v>25</v>
      </c>
      <c r="B40" t="s">
        <v>26</v>
      </c>
      <c r="C40">
        <v>7913</v>
      </c>
      <c r="D40" t="s">
        <v>22</v>
      </c>
      <c r="E40">
        <v>40000</v>
      </c>
      <c r="F40">
        <v>80000</v>
      </c>
      <c r="G40">
        <v>0</v>
      </c>
      <c r="H40">
        <v>30000</v>
      </c>
    </row>
    <row r="41" spans="1:8" x14ac:dyDescent="0.2">
      <c r="A41" t="s">
        <v>40</v>
      </c>
      <c r="B41" t="s">
        <v>41</v>
      </c>
      <c r="C41">
        <v>8212</v>
      </c>
      <c r="D41" t="s">
        <v>37</v>
      </c>
      <c r="E41">
        <v>80000</v>
      </c>
      <c r="F41">
        <v>20000</v>
      </c>
      <c r="G41">
        <v>0</v>
      </c>
      <c r="H41">
        <v>30000</v>
      </c>
    </row>
    <row r="42" spans="1:8" x14ac:dyDescent="0.2">
      <c r="A42" t="s">
        <v>61</v>
      </c>
      <c r="B42" t="s">
        <v>62</v>
      </c>
      <c r="C42">
        <v>8212</v>
      </c>
      <c r="D42" t="s">
        <v>58</v>
      </c>
      <c r="E42">
        <v>20000</v>
      </c>
      <c r="F42">
        <v>60000</v>
      </c>
      <c r="G42">
        <v>0</v>
      </c>
      <c r="H42">
        <v>30000</v>
      </c>
    </row>
    <row r="43" spans="1:8" x14ac:dyDescent="0.2">
      <c r="A43" t="s">
        <v>84</v>
      </c>
      <c r="B43" t="s">
        <v>85</v>
      </c>
      <c r="C43">
        <v>8212</v>
      </c>
      <c r="D43" t="s">
        <v>58</v>
      </c>
      <c r="E43">
        <v>60000</v>
      </c>
      <c r="F43">
        <v>99999</v>
      </c>
      <c r="G43">
        <v>0</v>
      </c>
      <c r="H43">
        <v>30000</v>
      </c>
    </row>
    <row r="44" spans="1:8" x14ac:dyDescent="0.2">
      <c r="A44" t="s">
        <v>105</v>
      </c>
      <c r="B44" t="s">
        <v>106</v>
      </c>
      <c r="C44">
        <v>8212</v>
      </c>
      <c r="D44" t="s">
        <v>102</v>
      </c>
      <c r="E44">
        <v>0</v>
      </c>
      <c r="F44">
        <v>40000</v>
      </c>
      <c r="G44">
        <v>0</v>
      </c>
      <c r="H44">
        <v>30000</v>
      </c>
    </row>
    <row r="45" spans="1:8" x14ac:dyDescent="0.2">
      <c r="A45" t="s">
        <v>133</v>
      </c>
      <c r="B45" t="s">
        <v>134</v>
      </c>
      <c r="C45">
        <v>7912</v>
      </c>
      <c r="D45" t="s">
        <v>102</v>
      </c>
      <c r="E45">
        <v>40000</v>
      </c>
      <c r="F45">
        <v>80000</v>
      </c>
      <c r="G45">
        <v>0</v>
      </c>
      <c r="H45">
        <v>30000</v>
      </c>
    </row>
    <row r="46" spans="1:8" x14ac:dyDescent="0.2">
      <c r="A46" t="s">
        <v>159</v>
      </c>
      <c r="B46" t="s">
        <v>160</v>
      </c>
      <c r="C46">
        <v>7913</v>
      </c>
      <c r="D46" t="s">
        <v>156</v>
      </c>
      <c r="E46">
        <v>80000</v>
      </c>
      <c r="F46">
        <v>20000</v>
      </c>
      <c r="G46">
        <v>0</v>
      </c>
      <c r="H46">
        <v>30000</v>
      </c>
    </row>
    <row r="47" spans="1:8" x14ac:dyDescent="0.2">
      <c r="A47" t="s">
        <v>42</v>
      </c>
      <c r="B47" t="s">
        <v>43</v>
      </c>
      <c r="C47">
        <v>8112</v>
      </c>
      <c r="D47" t="s">
        <v>44</v>
      </c>
      <c r="E47">
        <v>80000</v>
      </c>
      <c r="F47">
        <v>20000</v>
      </c>
      <c r="G47">
        <v>70000</v>
      </c>
      <c r="H47">
        <v>0</v>
      </c>
    </row>
    <row r="48" spans="1:8" x14ac:dyDescent="0.2">
      <c r="A48" t="s">
        <v>63</v>
      </c>
      <c r="B48" t="s">
        <v>64</v>
      </c>
      <c r="C48">
        <v>8313</v>
      </c>
      <c r="D48" t="s">
        <v>65</v>
      </c>
      <c r="E48">
        <v>20000</v>
      </c>
      <c r="F48">
        <v>60000</v>
      </c>
      <c r="G48">
        <v>70000</v>
      </c>
      <c r="H48">
        <v>0</v>
      </c>
    </row>
    <row r="49" spans="1:8" x14ac:dyDescent="0.2">
      <c r="A49" t="s">
        <v>86</v>
      </c>
      <c r="B49" t="s">
        <v>87</v>
      </c>
      <c r="C49">
        <v>8212</v>
      </c>
      <c r="D49" t="s">
        <v>65</v>
      </c>
      <c r="E49">
        <v>60000</v>
      </c>
      <c r="F49">
        <v>99999</v>
      </c>
      <c r="G49">
        <v>70000</v>
      </c>
      <c r="H49">
        <v>0</v>
      </c>
    </row>
    <row r="50" spans="1:8" x14ac:dyDescent="0.2">
      <c r="A50" t="s">
        <v>107</v>
      </c>
      <c r="B50" t="s">
        <v>108</v>
      </c>
      <c r="C50">
        <v>8312</v>
      </c>
      <c r="D50" t="s">
        <v>109</v>
      </c>
      <c r="E50">
        <v>0</v>
      </c>
      <c r="F50">
        <v>40000</v>
      </c>
      <c r="G50">
        <v>70000</v>
      </c>
      <c r="H50">
        <v>0</v>
      </c>
    </row>
    <row r="51" spans="1:8" x14ac:dyDescent="0.2">
      <c r="A51" t="s">
        <v>135</v>
      </c>
      <c r="B51" t="s">
        <v>136</v>
      </c>
      <c r="C51">
        <v>8411</v>
      </c>
      <c r="D51" t="s">
        <v>109</v>
      </c>
      <c r="E51">
        <v>40000</v>
      </c>
      <c r="F51">
        <v>80000</v>
      </c>
      <c r="G51">
        <v>70000</v>
      </c>
      <c r="H51">
        <v>0</v>
      </c>
    </row>
    <row r="52" spans="1:8" x14ac:dyDescent="0.2">
      <c r="A52" t="s">
        <v>161</v>
      </c>
      <c r="B52" t="s">
        <v>162</v>
      </c>
      <c r="C52">
        <v>8313</v>
      </c>
      <c r="D52" t="s">
        <v>163</v>
      </c>
      <c r="E52">
        <v>80000</v>
      </c>
      <c r="F52">
        <v>20000</v>
      </c>
      <c r="G52">
        <v>70000</v>
      </c>
      <c r="H52">
        <v>0</v>
      </c>
    </row>
    <row r="53" spans="1:8" x14ac:dyDescent="0.2">
      <c r="A53" t="s">
        <v>45</v>
      </c>
      <c r="B53" t="s">
        <v>46</v>
      </c>
      <c r="C53">
        <v>8112</v>
      </c>
      <c r="D53" t="s">
        <v>44</v>
      </c>
      <c r="E53">
        <v>80000</v>
      </c>
      <c r="F53">
        <v>20000</v>
      </c>
      <c r="G53">
        <v>40000</v>
      </c>
      <c r="H53">
        <v>70000</v>
      </c>
    </row>
    <row r="54" spans="1:8" x14ac:dyDescent="0.2">
      <c r="A54" t="s">
        <v>66</v>
      </c>
      <c r="B54" t="s">
        <v>67</v>
      </c>
      <c r="C54">
        <v>8112</v>
      </c>
      <c r="D54" t="s">
        <v>65</v>
      </c>
      <c r="E54">
        <v>20000</v>
      </c>
      <c r="F54">
        <v>60000</v>
      </c>
      <c r="G54">
        <v>40000</v>
      </c>
      <c r="H54">
        <v>99999</v>
      </c>
    </row>
    <row r="55" spans="1:8" x14ac:dyDescent="0.2">
      <c r="A55" t="s">
        <v>88</v>
      </c>
      <c r="B55" t="s">
        <v>89</v>
      </c>
      <c r="C55">
        <v>8112</v>
      </c>
      <c r="D55" t="s">
        <v>65</v>
      </c>
      <c r="E55">
        <v>60000</v>
      </c>
      <c r="F55">
        <v>99999</v>
      </c>
      <c r="G55">
        <v>40000</v>
      </c>
      <c r="H55">
        <v>70000</v>
      </c>
    </row>
    <row r="56" spans="1:8" x14ac:dyDescent="0.2">
      <c r="A56" t="s">
        <v>110</v>
      </c>
      <c r="B56" t="s">
        <v>111</v>
      </c>
      <c r="C56">
        <v>8312</v>
      </c>
      <c r="D56" t="s">
        <v>109</v>
      </c>
      <c r="E56">
        <v>0</v>
      </c>
      <c r="F56">
        <v>40000</v>
      </c>
      <c r="G56">
        <v>40000</v>
      </c>
      <c r="H56">
        <v>70000</v>
      </c>
    </row>
    <row r="57" spans="1:8" x14ac:dyDescent="0.2">
      <c r="A57" t="s">
        <v>137</v>
      </c>
      <c r="B57" t="s">
        <v>138</v>
      </c>
      <c r="C57">
        <v>8311</v>
      </c>
      <c r="D57" t="s">
        <v>109</v>
      </c>
      <c r="E57">
        <v>40000</v>
      </c>
      <c r="F57">
        <v>80000</v>
      </c>
      <c r="G57">
        <v>40000</v>
      </c>
      <c r="H57">
        <v>70000</v>
      </c>
    </row>
    <row r="58" spans="1:8" x14ac:dyDescent="0.2">
      <c r="A58" t="s">
        <v>68</v>
      </c>
      <c r="B58" t="s">
        <v>69</v>
      </c>
      <c r="C58">
        <v>8210</v>
      </c>
      <c r="D58" t="s">
        <v>65</v>
      </c>
      <c r="E58">
        <v>20000</v>
      </c>
      <c r="F58">
        <v>60000</v>
      </c>
      <c r="G58">
        <v>10000</v>
      </c>
      <c r="H58">
        <v>99999</v>
      </c>
    </row>
    <row r="59" spans="1:8" x14ac:dyDescent="0.2">
      <c r="A59" t="s">
        <v>90</v>
      </c>
      <c r="B59" t="s">
        <v>91</v>
      </c>
      <c r="C59">
        <v>8211</v>
      </c>
      <c r="D59" t="s">
        <v>65</v>
      </c>
      <c r="E59">
        <v>60000</v>
      </c>
      <c r="F59">
        <v>99999</v>
      </c>
      <c r="G59">
        <v>10000</v>
      </c>
      <c r="H59">
        <v>40000</v>
      </c>
    </row>
    <row r="60" spans="1:8" x14ac:dyDescent="0.2">
      <c r="A60" t="s">
        <v>112</v>
      </c>
      <c r="B60" t="s">
        <v>113</v>
      </c>
      <c r="C60">
        <v>8311</v>
      </c>
      <c r="D60" t="s">
        <v>109</v>
      </c>
      <c r="E60">
        <v>0</v>
      </c>
      <c r="F60">
        <v>40000</v>
      </c>
      <c r="G60">
        <v>10000</v>
      </c>
      <c r="H60">
        <v>40000</v>
      </c>
    </row>
    <row r="61" spans="1:8" x14ac:dyDescent="0.2">
      <c r="A61" t="s">
        <v>139</v>
      </c>
      <c r="B61" t="s">
        <v>140</v>
      </c>
      <c r="C61">
        <v>8311</v>
      </c>
      <c r="D61" t="s">
        <v>109</v>
      </c>
      <c r="E61">
        <v>40000</v>
      </c>
      <c r="F61">
        <v>80000</v>
      </c>
      <c r="G61">
        <v>10000</v>
      </c>
      <c r="H61">
        <v>40000</v>
      </c>
    </row>
    <row r="62" spans="1:8" x14ac:dyDescent="0.2">
      <c r="A62" t="s">
        <v>47</v>
      </c>
      <c r="B62" t="s">
        <v>48</v>
      </c>
      <c r="C62">
        <v>8011</v>
      </c>
      <c r="D62" t="s">
        <v>49</v>
      </c>
      <c r="E62">
        <v>80000</v>
      </c>
      <c r="F62">
        <v>20000</v>
      </c>
      <c r="G62">
        <v>80000</v>
      </c>
      <c r="H62">
        <v>10000</v>
      </c>
    </row>
    <row r="63" spans="1:8" x14ac:dyDescent="0.2">
      <c r="A63" t="s">
        <v>70</v>
      </c>
      <c r="B63" t="s">
        <v>71</v>
      </c>
      <c r="C63">
        <v>8011</v>
      </c>
      <c r="D63" t="s">
        <v>72</v>
      </c>
      <c r="E63">
        <v>20000</v>
      </c>
      <c r="F63">
        <v>60000</v>
      </c>
      <c r="G63">
        <v>80000</v>
      </c>
      <c r="H63">
        <v>99999</v>
      </c>
    </row>
    <row r="64" spans="1:8" x14ac:dyDescent="0.2">
      <c r="A64" t="s">
        <v>92</v>
      </c>
      <c r="B64" t="s">
        <v>93</v>
      </c>
      <c r="C64">
        <v>8211</v>
      </c>
      <c r="D64" t="s">
        <v>72</v>
      </c>
      <c r="E64">
        <v>60000</v>
      </c>
      <c r="F64">
        <v>99999</v>
      </c>
      <c r="G64">
        <v>80000</v>
      </c>
      <c r="H64">
        <v>10000</v>
      </c>
    </row>
    <row r="65" spans="1:8" x14ac:dyDescent="0.2">
      <c r="A65" t="s">
        <v>114</v>
      </c>
      <c r="B65" t="s">
        <v>115</v>
      </c>
      <c r="C65">
        <v>8211</v>
      </c>
      <c r="D65" t="s">
        <v>116</v>
      </c>
      <c r="E65">
        <v>0</v>
      </c>
      <c r="F65">
        <v>40000</v>
      </c>
      <c r="G65">
        <v>80000</v>
      </c>
      <c r="H65">
        <v>10000</v>
      </c>
    </row>
    <row r="66" spans="1:8" x14ac:dyDescent="0.2">
      <c r="A66" t="s">
        <v>73</v>
      </c>
      <c r="B66" t="s">
        <v>74</v>
      </c>
      <c r="C66">
        <v>7912</v>
      </c>
      <c r="D66" t="s">
        <v>75</v>
      </c>
      <c r="E66">
        <v>20000</v>
      </c>
      <c r="F66">
        <v>60000</v>
      </c>
      <c r="G66">
        <v>50000</v>
      </c>
      <c r="H66">
        <v>99999</v>
      </c>
    </row>
  </sheetData>
  <autoFilter ref="A1:H66" xr:uid="{00000000-0009-0000-0000-000000000000}">
    <sortState xmlns:xlrd2="http://schemas.microsoft.com/office/spreadsheetml/2017/richdata2" ref="A2:H66">
      <sortCondition ref="A1:A66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T76"/>
  <sheetViews>
    <sheetView tabSelected="1" workbookViewId="0">
      <pane xSplit="2" ySplit="1" topLeftCell="C12" activePane="bottomRight" state="frozen"/>
      <selection pane="topRight" activeCell="C1" sqref="C1"/>
      <selection pane="bottomLeft" activeCell="A2" sqref="A2"/>
      <selection pane="bottomRight" activeCell="AI88" sqref="AI88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  <col min="23" max="30" width="14.6640625" bestFit="1" customWidth="1"/>
  </cols>
  <sheetData>
    <row r="1" spans="1:34" x14ac:dyDescent="0.2">
      <c r="A1" t="s">
        <v>0</v>
      </c>
      <c r="B1" t="s">
        <v>1</v>
      </c>
      <c r="C1" t="s">
        <v>2</v>
      </c>
      <c r="D1" t="s">
        <v>3</v>
      </c>
      <c r="E1" t="s">
        <v>244</v>
      </c>
      <c r="F1" t="s">
        <v>245</v>
      </c>
      <c r="G1" t="s">
        <v>246</v>
      </c>
      <c r="H1" t="s">
        <v>247</v>
      </c>
      <c r="I1" t="s">
        <v>227</v>
      </c>
      <c r="J1" t="s">
        <v>248</v>
      </c>
      <c r="K1" t="s">
        <v>260</v>
      </c>
      <c r="L1" t="s">
        <v>236</v>
      </c>
      <c r="M1" t="s">
        <v>237</v>
      </c>
      <c r="N1" t="s">
        <v>238</v>
      </c>
      <c r="O1" t="s">
        <v>214</v>
      </c>
      <c r="P1" t="s">
        <v>239</v>
      </c>
      <c r="S1" t="s">
        <v>261</v>
      </c>
      <c r="T1" t="s">
        <v>262</v>
      </c>
      <c r="U1" t="s">
        <v>263</v>
      </c>
      <c r="V1" t="s">
        <v>264</v>
      </c>
      <c r="W1" t="s">
        <v>236</v>
      </c>
      <c r="X1" t="s">
        <v>237</v>
      </c>
      <c r="Y1" t="s">
        <v>238</v>
      </c>
      <c r="Z1" t="s">
        <v>214</v>
      </c>
      <c r="AA1" t="s">
        <v>236</v>
      </c>
      <c r="AB1" t="s">
        <v>237</v>
      </c>
      <c r="AC1" t="s">
        <v>238</v>
      </c>
      <c r="AD1" t="s">
        <v>214</v>
      </c>
      <c r="AE1" t="s">
        <v>236</v>
      </c>
      <c r="AF1" t="s">
        <v>237</v>
      </c>
      <c r="AG1" t="s">
        <v>238</v>
      </c>
      <c r="AH1" t="s">
        <v>214</v>
      </c>
    </row>
    <row r="2" spans="1:34" hidden="1" x14ac:dyDescent="0.2">
      <c r="A2" t="s">
        <v>92</v>
      </c>
      <c r="B2" t="s">
        <v>93</v>
      </c>
      <c r="C2">
        <v>8211</v>
      </c>
      <c r="D2" t="s">
        <v>250</v>
      </c>
      <c r="E2">
        <v>60000</v>
      </c>
      <c r="F2">
        <v>99999</v>
      </c>
      <c r="G2">
        <v>80000</v>
      </c>
      <c r="H2">
        <v>9999</v>
      </c>
      <c r="I2" t="s">
        <v>221</v>
      </c>
      <c r="J2">
        <f>MOD(E2+20000,100000)</f>
        <v>80000</v>
      </c>
      <c r="K2">
        <f>MOD(G2+15000,100000)</f>
        <v>95000</v>
      </c>
      <c r="L2" t="str">
        <f>_xlfn.CONCAT(RIGHT(TRIM($D2),2),TEXT(E2,"00000"),TEXT(H2,"00000"))</f>
        <v>DN6000009999</v>
      </c>
      <c r="M2" t="str">
        <f>_xlfn.CONCAT(RIGHT(TRIM($D2),2),TEXT(F2,"00000"),TEXT(H2,"00000"))</f>
        <v>DN9999909999</v>
      </c>
      <c r="N2" t="str">
        <f>_xlfn.CONCAT(LEFT(TRIM($D2),2),TEXT(E2,"00000"),TEXT(G2,"00000"))</f>
        <v>DM6000080000</v>
      </c>
      <c r="O2" t="str">
        <f>_xlfn.CONCAT(LEFT(TRIM($D2),2),TEXT(F2,"00000"),TEXT(G2,"00000"))</f>
        <v>DM9999980000</v>
      </c>
      <c r="P2">
        <f t="shared" ref="P2:P33" si="0">LEN(TRIM(D2))</f>
        <v>5</v>
      </c>
    </row>
    <row r="3" spans="1:34" hidden="1" x14ac:dyDescent="0.2">
      <c r="A3" t="s">
        <v>144</v>
      </c>
      <c r="B3" s="2" t="s">
        <v>145</v>
      </c>
      <c r="C3">
        <v>7916</v>
      </c>
      <c r="D3" t="s">
        <v>143</v>
      </c>
      <c r="E3">
        <v>80000</v>
      </c>
      <c r="F3">
        <v>19999</v>
      </c>
      <c r="G3">
        <v>10000</v>
      </c>
      <c r="H3">
        <v>39999</v>
      </c>
      <c r="I3" t="s">
        <v>235</v>
      </c>
      <c r="J3">
        <f>MOD(E3+20000,100000)</f>
        <v>0</v>
      </c>
      <c r="K3">
        <f>MOD(G3+15000,100000)</f>
        <v>25000</v>
      </c>
      <c r="L3" t="str">
        <f>_xlfn.CONCAT(LEFT(TRIM($D3),2),TEXT(E3,"00000"),TEXT(H3,"00000"))</f>
        <v>ER8000039999</v>
      </c>
      <c r="M3" t="str">
        <f>_xlfn.CONCAT(RIGHT(TRIM($D3),2),TEXT(F3,"00000"),TEXT(H3,"00000"))</f>
        <v>FR1999939999</v>
      </c>
      <c r="N3" t="str">
        <f>_xlfn.CONCAT(LEFT(TRIM($D3),2),TEXT(E3,"00000"),TEXT(G3,"00000"))</f>
        <v>ER8000010000</v>
      </c>
      <c r="O3" t="str">
        <f>_xlfn.CONCAT(RIGHT(TRIM($D3),2),TEXT(F3,"00000"),TEXT(G3,"00000"))</f>
        <v>FR1999910000</v>
      </c>
      <c r="P3">
        <f t="shared" si="0"/>
        <v>5</v>
      </c>
    </row>
    <row r="4" spans="1:34" hidden="1" x14ac:dyDescent="0.2">
      <c r="A4" t="s">
        <v>129</v>
      </c>
      <c r="B4" t="s">
        <v>130</v>
      </c>
      <c r="C4">
        <v>8214</v>
      </c>
      <c r="D4" t="s">
        <v>102</v>
      </c>
      <c r="E4">
        <v>40000</v>
      </c>
      <c r="F4">
        <v>79999</v>
      </c>
      <c r="G4">
        <v>60000</v>
      </c>
      <c r="H4">
        <v>89999</v>
      </c>
      <c r="I4" t="s">
        <v>223</v>
      </c>
      <c r="J4">
        <f>MOD(E4+20000,100000)</f>
        <v>60000</v>
      </c>
      <c r="K4">
        <f>MOD(G4+15000,100000)</f>
        <v>75000</v>
      </c>
      <c r="L4" t="str">
        <f>_xlfn.CONCAT(TRIM($D4),TEXT(E4,"00000"),TEXT(H4,"00000"))</f>
        <v>EP4000089999</v>
      </c>
      <c r="M4" t="str">
        <f>_xlfn.CONCAT(TRIM($D4),TEXT(F4,"00000"),TEXT(H4,"00000"))</f>
        <v>EP7999989999</v>
      </c>
      <c r="N4" t="str">
        <f>_xlfn.CONCAT(TRIM($D4),TEXT(E4,"00000"),TEXT(G4,"00000"))</f>
        <v>EP4000060000</v>
      </c>
      <c r="O4" t="str">
        <f>_xlfn.CONCAT(TRIM($D4),TEXT(F4,"00000"),TEXT(G4,"00000"))</f>
        <v>EP7999960000</v>
      </c>
      <c r="P4">
        <f t="shared" si="0"/>
        <v>2</v>
      </c>
    </row>
    <row r="5" spans="1:34" hidden="1" x14ac:dyDescent="0.2">
      <c r="A5" t="s">
        <v>141</v>
      </c>
      <c r="B5" s="2" t="s">
        <v>142</v>
      </c>
      <c r="C5">
        <v>8517</v>
      </c>
      <c r="D5" t="s">
        <v>143</v>
      </c>
      <c r="E5">
        <v>80000</v>
      </c>
      <c r="F5">
        <v>19999</v>
      </c>
      <c r="G5">
        <v>70000</v>
      </c>
      <c r="H5">
        <v>99999</v>
      </c>
      <c r="I5" t="s">
        <v>235</v>
      </c>
      <c r="J5">
        <f>MOD(E5+20000,100000)</f>
        <v>0</v>
      </c>
      <c r="K5">
        <f>MOD(G5+15000,100000)</f>
        <v>85000</v>
      </c>
      <c r="L5" t="str">
        <f>_xlfn.CONCAT(LEFT(TRIM($D5),2),TEXT(E5,"00000"),TEXT(H5,"00000"))</f>
        <v>ER8000099999</v>
      </c>
      <c r="M5" t="str">
        <f>_xlfn.CONCAT(RIGHT(TRIM($D5),2),TEXT(F5,"00000"),TEXT(H5,"00000"))</f>
        <v>FR1999999999</v>
      </c>
      <c r="N5" t="str">
        <f>_xlfn.CONCAT(LEFT(TRIM($D5),2),TEXT(E5,"00000"),TEXT(G5,"00000"))</f>
        <v>ER8000070000</v>
      </c>
      <c r="O5" t="str">
        <f>_xlfn.CONCAT(RIGHT(TRIM($D5),2),TEXT(F5,"00000"),TEXT(G5,"00000"))</f>
        <v>FR1999970000</v>
      </c>
      <c r="P5">
        <f t="shared" si="0"/>
        <v>5</v>
      </c>
    </row>
    <row r="6" spans="1:34" hidden="1" x14ac:dyDescent="0.2">
      <c r="A6" t="s">
        <v>200</v>
      </c>
      <c r="B6" s="2" t="s">
        <v>202</v>
      </c>
      <c r="D6" t="s">
        <v>217</v>
      </c>
      <c r="E6">
        <v>40000</v>
      </c>
      <c r="F6">
        <v>79999</v>
      </c>
      <c r="G6">
        <v>80000</v>
      </c>
      <c r="H6">
        <v>9999</v>
      </c>
      <c r="I6" t="s">
        <v>225</v>
      </c>
      <c r="J6">
        <f>MOD(E6+20000,100000)</f>
        <v>60000</v>
      </c>
      <c r="K6">
        <f>MOD(G6+15000,100000)</f>
        <v>95000</v>
      </c>
      <c r="L6" t="str">
        <f>_xlfn.CONCAT(RIGHT(TRIM($D6),2),TEXT(E6,"00000"),TEXT(H6,"00000"))</f>
        <v>ER4000009999</v>
      </c>
      <c r="M6" t="str">
        <f>_xlfn.CONCAT(RIGHT(TRIM($D6),2),TEXT(F6,"00000"),TEXT(H6,"00000"))</f>
        <v>ER7999909999</v>
      </c>
      <c r="N6" t="str">
        <f>_xlfn.CONCAT(LEFT(TRIM($D6),2),TEXT(E6,"00000"),TEXT(G6,"00000"))</f>
        <v>EQ4000080000</v>
      </c>
      <c r="O6" t="str">
        <f>_xlfn.CONCAT(LEFT(TRIM($D6),2),TEXT(F6,"00000"),TEXT(G6,"00000"))</f>
        <v>EQ7999980000</v>
      </c>
      <c r="P6">
        <f t="shared" si="0"/>
        <v>5</v>
      </c>
    </row>
    <row r="7" spans="1:34" hidden="1" x14ac:dyDescent="0.2">
      <c r="A7" t="s">
        <v>70</v>
      </c>
      <c r="B7" t="s">
        <v>71</v>
      </c>
      <c r="C7">
        <v>8011</v>
      </c>
      <c r="D7" t="s">
        <v>249</v>
      </c>
      <c r="E7">
        <v>20000</v>
      </c>
      <c r="F7">
        <v>59999</v>
      </c>
      <c r="G7">
        <v>80000</v>
      </c>
      <c r="H7">
        <v>9999</v>
      </c>
      <c r="I7" t="s">
        <v>221</v>
      </c>
      <c r="J7">
        <f>MOD(E7+20000,100000)</f>
        <v>40000</v>
      </c>
      <c r="K7">
        <f>MOD(G7+15000,100000)</f>
        <v>95000</v>
      </c>
      <c r="L7" t="str">
        <f>_xlfn.CONCAT(RIGHT(TRIM($D7),2),TEXT(E7,"00000"),TEXT(H7,"00000"))</f>
        <v>DN2000009999</v>
      </c>
      <c r="M7" t="str">
        <f>_xlfn.CONCAT(RIGHT(TRIM($D7),2),TEXT(F7,"00000"),TEXT(H7,"00000"))</f>
        <v>DN5999909999</v>
      </c>
      <c r="N7" t="str">
        <f>_xlfn.CONCAT(LEFT(TRIM($D7),2),TEXT(E7,"00000"),TEXT(G7,"00000"))</f>
        <v>DM2000080000</v>
      </c>
      <c r="O7" t="str">
        <f>_xlfn.CONCAT(LEFT(TRIM($D7),2),TEXT(F7,"00000"),TEXT(G7,"00000"))</f>
        <v>DM5999980000</v>
      </c>
      <c r="P7">
        <f t="shared" si="0"/>
        <v>5</v>
      </c>
    </row>
    <row r="8" spans="1:34" hidden="1" x14ac:dyDescent="0.2">
      <c r="A8" t="s">
        <v>149</v>
      </c>
      <c r="B8" t="s">
        <v>150</v>
      </c>
      <c r="C8">
        <v>8514</v>
      </c>
      <c r="D8" t="s">
        <v>148</v>
      </c>
      <c r="E8">
        <v>80000</v>
      </c>
      <c r="F8">
        <v>19999</v>
      </c>
      <c r="G8">
        <v>20000</v>
      </c>
      <c r="H8">
        <v>49999</v>
      </c>
      <c r="I8" t="s">
        <v>234</v>
      </c>
      <c r="J8">
        <f>MOD(E8+20000,100000)</f>
        <v>0</v>
      </c>
      <c r="K8">
        <f>MOD(G8+15000,100000)</f>
        <v>35000</v>
      </c>
      <c r="L8" t="str">
        <f>_xlfn.CONCAT(LEFT(TRIM($D8),2),TEXT(E8,"00000"),TEXT(H8,"00000"))</f>
        <v>EQ8000049999</v>
      </c>
      <c r="M8" t="str">
        <f>_xlfn.CONCAT(RIGHT(TRIM($D8),2),TEXT(F8,"00000"),TEXT(H8,"00000"))</f>
        <v>FQ1999949999</v>
      </c>
      <c r="N8" t="str">
        <f>_xlfn.CONCAT(LEFT(TRIM($D8),2),TEXT(E8,"00000"),TEXT(G8,"00000"))</f>
        <v>EQ8000020000</v>
      </c>
      <c r="O8" t="str">
        <f>_xlfn.CONCAT(RIGHT(TRIM($D8),2),TEXT(F8,"00000"),TEXT(G8,"00000"))</f>
        <v>FQ1999920000</v>
      </c>
      <c r="P8">
        <f t="shared" si="0"/>
        <v>5</v>
      </c>
    </row>
    <row r="9" spans="1:34" hidden="1" x14ac:dyDescent="0.2">
      <c r="A9" t="s">
        <v>127</v>
      </c>
      <c r="B9" t="s">
        <v>128</v>
      </c>
      <c r="C9">
        <v>8414</v>
      </c>
      <c r="D9" t="s">
        <v>99</v>
      </c>
      <c r="E9">
        <v>40000</v>
      </c>
      <c r="F9">
        <v>79999</v>
      </c>
      <c r="G9">
        <v>90000</v>
      </c>
      <c r="H9">
        <v>19999</v>
      </c>
      <c r="I9" t="s">
        <v>225</v>
      </c>
      <c r="J9">
        <f>MOD(E9+20000,100000)</f>
        <v>60000</v>
      </c>
      <c r="K9">
        <f>MOD(G9+15000,100000)</f>
        <v>5000</v>
      </c>
      <c r="L9" t="str">
        <f>_xlfn.CONCAT(RIGHT(TRIM($D9),2),TEXT(E9,"00000"),TEXT(H9,"00000"))</f>
        <v>EQ4000019999</v>
      </c>
      <c r="M9" t="str">
        <f>_xlfn.CONCAT(RIGHT(TRIM($D9),2),TEXT(F9,"00000"),TEXT(H9,"00000"))</f>
        <v>EQ7999919999</v>
      </c>
      <c r="N9" t="str">
        <f>_xlfn.CONCAT(LEFT(TRIM($D9),2),TEXT(E9,"00000"),TEXT(G9,"00000"))</f>
        <v>EP4000090000</v>
      </c>
      <c r="O9" t="str">
        <f>_xlfn.CONCAT(LEFT(TRIM($D9),2),TEXT(F9,"00000"),TEXT(G9,"00000"))</f>
        <v>EP7999990000</v>
      </c>
      <c r="P9">
        <f t="shared" si="0"/>
        <v>5</v>
      </c>
    </row>
    <row r="10" spans="1:34" hidden="1" x14ac:dyDescent="0.2">
      <c r="A10" t="s">
        <v>32</v>
      </c>
      <c r="B10" t="s">
        <v>33</v>
      </c>
      <c r="C10">
        <v>7914</v>
      </c>
      <c r="D10" t="s">
        <v>34</v>
      </c>
      <c r="E10">
        <v>80000</v>
      </c>
      <c r="F10">
        <v>19999</v>
      </c>
      <c r="G10">
        <v>90000</v>
      </c>
      <c r="H10">
        <v>19999</v>
      </c>
      <c r="I10" t="s">
        <v>226</v>
      </c>
      <c r="J10">
        <f>MOD(E10+20000,100000)</f>
        <v>0</v>
      </c>
      <c r="K10">
        <f>MOD(G10+15000,100000)</f>
        <v>5000</v>
      </c>
      <c r="L10" t="s">
        <v>256</v>
      </c>
      <c r="M10" t="s">
        <v>257</v>
      </c>
      <c r="N10" t="s">
        <v>258</v>
      </c>
      <c r="O10" t="s">
        <v>259</v>
      </c>
      <c r="P10">
        <f t="shared" si="0"/>
        <v>11</v>
      </c>
    </row>
    <row r="11" spans="1:34" hidden="1" x14ac:dyDescent="0.2">
      <c r="A11" t="s">
        <v>117</v>
      </c>
      <c r="B11" s="2" t="s">
        <v>118</v>
      </c>
      <c r="C11">
        <v>7816</v>
      </c>
      <c r="D11" t="s">
        <v>119</v>
      </c>
      <c r="E11">
        <v>40000</v>
      </c>
      <c r="F11">
        <v>79999</v>
      </c>
      <c r="G11">
        <v>0</v>
      </c>
      <c r="H11">
        <v>29999</v>
      </c>
      <c r="I11" t="s">
        <v>231</v>
      </c>
      <c r="J11">
        <f>MOD(E11+20000,100000)</f>
        <v>60000</v>
      </c>
      <c r="K11">
        <f>MOD(G11+15000,100000)</f>
        <v>15000</v>
      </c>
      <c r="L11" t="str">
        <f>_xlfn.CONCAT(TRIM($D11),TEXT(E11,"00000"),TEXT(H11,"00000"))</f>
        <v>ES4000029999</v>
      </c>
      <c r="M11" t="str">
        <f>_xlfn.CONCAT(TRIM($D11),TEXT(F11,"00000"),TEXT(H11,"00000"))</f>
        <v>ES7999929999</v>
      </c>
      <c r="N11" t="str">
        <f>_xlfn.CONCAT(TRIM($D11),TEXT(E11,"00000"),TEXT(G11,"00000"))</f>
        <v>ES4000000000</v>
      </c>
      <c r="O11" t="str">
        <f>_xlfn.CONCAT(TRIM($D11),TEXT(F11,"00000"),TEXT(G11,"00000"))</f>
        <v>ES7999900000</v>
      </c>
      <c r="P11">
        <f t="shared" si="0"/>
        <v>2</v>
      </c>
    </row>
    <row r="12" spans="1:34" x14ac:dyDescent="0.2">
      <c r="A12" t="s">
        <v>123</v>
      </c>
      <c r="B12" s="3" t="s">
        <v>124</v>
      </c>
      <c r="C12">
        <v>8517</v>
      </c>
      <c r="D12" t="s">
        <v>96</v>
      </c>
      <c r="E12">
        <v>40000</v>
      </c>
      <c r="F12">
        <v>79999</v>
      </c>
      <c r="G12">
        <v>50000</v>
      </c>
      <c r="H12">
        <v>79999</v>
      </c>
      <c r="I12" t="s">
        <v>225</v>
      </c>
      <c r="J12">
        <f>MOD(E12+20000,100000)</f>
        <v>60000</v>
      </c>
      <c r="K12">
        <f>MOD(G12+15000,100000)</f>
        <v>65000</v>
      </c>
      <c r="L12" t="str">
        <f>_xlfn.CONCAT(TRIM($D12),TEXT(E12,"00000"),TEXT(H12,"00000"))</f>
        <v>EQ4000079999</v>
      </c>
      <c r="M12" t="str">
        <f>_xlfn.CONCAT(TRIM($D12),TEXT(F12,"00000"),TEXT(H12,"00000"))</f>
        <v>EQ7999979999</v>
      </c>
      <c r="N12" t="str">
        <f>_xlfn.CONCAT(TRIM($D12),TEXT(E12,"00000"),TEXT(G12,"00000"))</f>
        <v>EQ4000050000</v>
      </c>
      <c r="O12" t="str">
        <f>_xlfn.CONCAT(TRIM($D12),TEXT(F12,"00000"),TEXT(G12,"00000"))</f>
        <v>EQ7999950000</v>
      </c>
      <c r="P12">
        <f t="shared" si="0"/>
        <v>2</v>
      </c>
    </row>
    <row r="13" spans="1:34" hidden="1" x14ac:dyDescent="0.2">
      <c r="A13" t="s">
        <v>210</v>
      </c>
      <c r="B13" t="s">
        <v>211</v>
      </c>
      <c r="D13" t="s">
        <v>216</v>
      </c>
      <c r="E13">
        <v>0</v>
      </c>
      <c r="F13">
        <v>39999</v>
      </c>
      <c r="G13">
        <v>80000</v>
      </c>
      <c r="H13">
        <v>9999</v>
      </c>
      <c r="I13" t="s">
        <v>218</v>
      </c>
      <c r="J13">
        <f>MOD(E13+20000,100000)</f>
        <v>20000</v>
      </c>
      <c r="K13">
        <f>MOD(G13+15000,100000)</f>
        <v>95000</v>
      </c>
      <c r="L13" t="str">
        <f>_xlfn.CONCAT(RIGHT(TRIM($D13),2),TEXT(E13,"00000"),TEXT(H13,"00000"))</f>
        <v>CR0000009999</v>
      </c>
      <c r="M13" t="str">
        <f>_xlfn.CONCAT(RIGHT(TRIM($D13),2),TEXT(F13,"00000"),TEXT(H13,"00000"))</f>
        <v>CR3999909999</v>
      </c>
      <c r="N13" t="str">
        <f>_xlfn.CONCAT(LEFT(TRIM($D13),2),TEXT(E13,"00000"),TEXT(G13,"00000"))</f>
        <v>CQ0000080000</v>
      </c>
      <c r="O13" t="str">
        <f>_xlfn.CONCAT(LEFT(TRIM($D13),2),TEXT(F13,"00000"),TEXT(G13,"00000"))</f>
        <v>CQ3999980000</v>
      </c>
      <c r="P13">
        <f t="shared" si="0"/>
        <v>5</v>
      </c>
    </row>
    <row r="14" spans="1:34" hidden="1" x14ac:dyDescent="0.2">
      <c r="A14" t="s">
        <v>80</v>
      </c>
      <c r="B14" t="s">
        <v>81</v>
      </c>
      <c r="C14">
        <v>8213</v>
      </c>
      <c r="D14" t="s">
        <v>58</v>
      </c>
      <c r="E14">
        <v>60000</v>
      </c>
      <c r="F14">
        <v>99999</v>
      </c>
      <c r="G14">
        <v>60000</v>
      </c>
      <c r="H14">
        <v>89999</v>
      </c>
      <c r="I14" t="s">
        <v>222</v>
      </c>
      <c r="J14">
        <f>MOD(E14+20000,100000)</f>
        <v>80000</v>
      </c>
      <c r="K14">
        <f>MOD(G14+15000,100000)</f>
        <v>75000</v>
      </c>
      <c r="L14" t="str">
        <f>_xlfn.CONCAT(TRIM($D14),TEXT(E14,"00000"),TEXT(H14,"00000"))</f>
        <v>DP6000089999</v>
      </c>
      <c r="M14" t="str">
        <f>_xlfn.CONCAT(TRIM($D14),TEXT(F14,"00000"),TEXT(H14,"00000"))</f>
        <v>DP9999989999</v>
      </c>
      <c r="N14" t="str">
        <f>_xlfn.CONCAT(TRIM($D14),TEXT(E14,"00000"),TEXT(G14,"00000"))</f>
        <v>DP6000060000</v>
      </c>
      <c r="O14" t="str">
        <f>_xlfn.CONCAT(TRIM($D14),TEXT(F14,"00000"),TEXT(G14,"00000"))</f>
        <v>DP9999960000</v>
      </c>
      <c r="P14">
        <f t="shared" si="0"/>
        <v>2</v>
      </c>
    </row>
    <row r="15" spans="1:34" hidden="1" x14ac:dyDescent="0.2">
      <c r="A15" t="s">
        <v>204</v>
      </c>
      <c r="B15" s="2" t="s">
        <v>205</v>
      </c>
      <c r="D15" t="s">
        <v>213</v>
      </c>
      <c r="E15">
        <v>20000</v>
      </c>
      <c r="F15">
        <v>59999</v>
      </c>
      <c r="G15">
        <v>0</v>
      </c>
      <c r="H15">
        <v>29999</v>
      </c>
      <c r="I15" t="s">
        <v>213</v>
      </c>
      <c r="J15">
        <f>MOD(E15+20000,100000)</f>
        <v>40000</v>
      </c>
      <c r="K15">
        <f>MOD(G15+15000,100000)</f>
        <v>15000</v>
      </c>
      <c r="L15" t="str">
        <f>_xlfn.CONCAT(TRIM($D15),TEXT(E15,"00000"),TEXT(H15,"00000"))</f>
        <v>BS2000029999</v>
      </c>
      <c r="M15" t="str">
        <f>_xlfn.CONCAT(TRIM($D15),TEXT(F15,"00000"),TEXT(H15,"00000"))</f>
        <v>BS5999929999</v>
      </c>
      <c r="N15" t="str">
        <f>_xlfn.CONCAT(TRIM($D15),TEXT(E15,"00000"),TEXT(G15,"00000"))</f>
        <v>BS2000000000</v>
      </c>
      <c r="O15" t="str">
        <f>_xlfn.CONCAT(TRIM($D15),TEXT(F15,"00000"),TEXT(G15,"00000"))</f>
        <v>BS5999900000</v>
      </c>
      <c r="P15">
        <f t="shared" si="0"/>
        <v>2</v>
      </c>
    </row>
    <row r="16" spans="1:34" hidden="1" x14ac:dyDescent="0.2">
      <c r="A16" t="s">
        <v>206</v>
      </c>
      <c r="B16" s="2" t="s">
        <v>207</v>
      </c>
      <c r="D16" t="s">
        <v>214</v>
      </c>
      <c r="E16">
        <v>20000</v>
      </c>
      <c r="F16">
        <v>59999</v>
      </c>
      <c r="G16">
        <v>40000</v>
      </c>
      <c r="H16">
        <v>69999</v>
      </c>
      <c r="I16" t="s">
        <v>214</v>
      </c>
      <c r="J16">
        <f>MOD(E16+20000,100000)</f>
        <v>40000</v>
      </c>
      <c r="K16">
        <f>MOD(G16+15000,100000)</f>
        <v>55000</v>
      </c>
      <c r="L16" t="str">
        <f>_xlfn.CONCAT(TRIM($D16),TEXT(E16,"00000"),TEXT(H16,"00000"))</f>
        <v>BR2000069999</v>
      </c>
      <c r="M16" t="str">
        <f>_xlfn.CONCAT(TRIM($D16),TEXT(F16,"00000"),TEXT(H16,"00000"))</f>
        <v>BR5999969999</v>
      </c>
      <c r="N16" t="str">
        <f>_xlfn.CONCAT(TRIM($D16),TEXT(E16,"00000"),TEXT(G16,"00000"))</f>
        <v>BR2000040000</v>
      </c>
      <c r="O16" t="str">
        <f>_xlfn.CONCAT(TRIM($D16),TEXT(F16,"00000"),TEXT(G16,"00000"))</f>
        <v>BR5999940000</v>
      </c>
      <c r="P16">
        <f t="shared" si="0"/>
        <v>2</v>
      </c>
    </row>
    <row r="17" spans="1:30" hidden="1" x14ac:dyDescent="0.2">
      <c r="A17" t="s">
        <v>112</v>
      </c>
      <c r="B17" t="s">
        <v>113</v>
      </c>
      <c r="C17">
        <v>8311</v>
      </c>
      <c r="D17" t="s">
        <v>109</v>
      </c>
      <c r="E17">
        <v>0</v>
      </c>
      <c r="F17">
        <v>39999</v>
      </c>
      <c r="G17">
        <v>10000</v>
      </c>
      <c r="H17">
        <v>39999</v>
      </c>
      <c r="I17" t="s">
        <v>229</v>
      </c>
      <c r="J17">
        <f>MOD(E17+20000,100000)</f>
        <v>20000</v>
      </c>
      <c r="K17">
        <f>MOD(G17+15000,100000)</f>
        <v>25000</v>
      </c>
      <c r="L17" t="str">
        <f>_xlfn.CONCAT(TRIM($D17),TEXT(E17,"00000"),TEXT(H17,"00000"))</f>
        <v>EN0000039999</v>
      </c>
      <c r="M17" t="str">
        <f>_xlfn.CONCAT(TRIM($D17),TEXT(F17,"00000"),TEXT(H17,"00000"))</f>
        <v>EN3999939999</v>
      </c>
      <c r="N17" t="str">
        <f>_xlfn.CONCAT(TRIM($D17),TEXT(E17,"00000"),TEXT(G17,"00000"))</f>
        <v>EN0000010000</v>
      </c>
      <c r="O17" t="str">
        <f>_xlfn.CONCAT(TRIM($D17),TEXT(F17,"00000"),TEXT(G17,"00000"))</f>
        <v>EN3999910000</v>
      </c>
      <c r="P17">
        <f t="shared" si="0"/>
        <v>2</v>
      </c>
    </row>
    <row r="18" spans="1:30" hidden="1" x14ac:dyDescent="0.2">
      <c r="A18" t="s">
        <v>196</v>
      </c>
      <c r="B18" t="s">
        <v>197</v>
      </c>
      <c r="D18" t="s">
        <v>52</v>
      </c>
      <c r="E18">
        <v>60000</v>
      </c>
      <c r="F18">
        <v>99999</v>
      </c>
      <c r="G18">
        <v>50000</v>
      </c>
      <c r="H18">
        <v>79999</v>
      </c>
      <c r="I18" t="s">
        <v>226</v>
      </c>
      <c r="J18">
        <f>MOD(E18+20000,100000)</f>
        <v>80000</v>
      </c>
      <c r="K18">
        <f>MOD(G18+15000,100000)</f>
        <v>65000</v>
      </c>
      <c r="L18" t="str">
        <f>_xlfn.CONCAT(TRIM($D18),TEXT(E18,"00000"),TEXT(H18,"00000"))</f>
        <v>DQ6000079999</v>
      </c>
      <c r="M18" t="str">
        <f>_xlfn.CONCAT(TRIM($D18),TEXT(F18,"00000"),TEXT(H18,"00000"))</f>
        <v>DQ9999979999</v>
      </c>
      <c r="N18" t="str">
        <f>_xlfn.CONCAT(TRIM($D18),TEXT(E18,"00000"),TEXT(G18,"00000"))</f>
        <v>DQ6000050000</v>
      </c>
      <c r="O18" t="str">
        <f>_xlfn.CONCAT(TRIM($D18),TEXT(F18,"00000"),TEXT(G18,"00000"))</f>
        <v>DQ9999950000</v>
      </c>
      <c r="P18">
        <f t="shared" si="0"/>
        <v>2</v>
      </c>
    </row>
    <row r="19" spans="1:30" hidden="1" x14ac:dyDescent="0.2">
      <c r="A19" t="s">
        <v>76</v>
      </c>
      <c r="B19" t="s">
        <v>77</v>
      </c>
      <c r="C19">
        <v>8114</v>
      </c>
      <c r="D19" t="s">
        <v>52</v>
      </c>
      <c r="E19">
        <v>60000</v>
      </c>
      <c r="F19">
        <v>99999</v>
      </c>
      <c r="G19">
        <v>20000</v>
      </c>
      <c r="H19">
        <v>49999</v>
      </c>
      <c r="I19" t="s">
        <v>226</v>
      </c>
      <c r="J19">
        <f>MOD(E19+20000,100000)</f>
        <v>80000</v>
      </c>
      <c r="K19">
        <f>MOD(G19+15000,100000)</f>
        <v>35000</v>
      </c>
      <c r="L19" t="str">
        <f>_xlfn.CONCAT(TRIM($D19),TEXT(E19,"00000"),TEXT(H19,"00000"))</f>
        <v>DQ6000049999</v>
      </c>
      <c r="M19" t="str">
        <f>_xlfn.CONCAT(TRIM($D19),TEXT(F19,"00000"),TEXT(H19,"00000"))</f>
        <v>DQ9999949999</v>
      </c>
      <c r="N19" t="str">
        <f>_xlfn.CONCAT(TRIM($D19),TEXT(E19,"00000"),TEXT(G19,"00000"))</f>
        <v>DQ6000020000</v>
      </c>
      <c r="O19" t="str">
        <f>_xlfn.CONCAT(TRIM($D19),TEXT(F19,"00000"),TEXT(G19,"00000"))</f>
        <v>DQ9999920000</v>
      </c>
      <c r="P19">
        <f t="shared" si="0"/>
        <v>2</v>
      </c>
    </row>
    <row r="20" spans="1:30" hidden="1" x14ac:dyDescent="0.2">
      <c r="A20" t="s">
        <v>63</v>
      </c>
      <c r="B20" t="s">
        <v>64</v>
      </c>
      <c r="C20">
        <v>8313</v>
      </c>
      <c r="D20" t="s">
        <v>65</v>
      </c>
      <c r="E20">
        <v>20000</v>
      </c>
      <c r="F20">
        <v>59999</v>
      </c>
      <c r="G20">
        <v>70000</v>
      </c>
      <c r="H20">
        <v>99999</v>
      </c>
      <c r="I20" t="s">
        <v>228</v>
      </c>
      <c r="J20">
        <f>MOD(E20+20000,100000)</f>
        <v>40000</v>
      </c>
      <c r="K20">
        <f>MOD(G20+15000,100000)</f>
        <v>85000</v>
      </c>
      <c r="L20" t="str">
        <f>_xlfn.CONCAT(TRIM($D20),TEXT(E20,"00000"),TEXT(H20,"00000"))</f>
        <v>DN2000099999</v>
      </c>
      <c r="M20" t="str">
        <f>_xlfn.CONCAT(TRIM($D20),TEXT(F20,"00000"),TEXT(H20,"00000"))</f>
        <v>DN5999999999</v>
      </c>
      <c r="N20" t="str">
        <f>_xlfn.CONCAT(TRIM($D20),TEXT(E20,"00000"),TEXT(G20,"00000"))</f>
        <v>DN2000070000</v>
      </c>
      <c r="O20" t="str">
        <f>_xlfn.CONCAT(TRIM($D20),TEXT(F20,"00000"),TEXT(G20,"00000"))</f>
        <v>DN5999970000</v>
      </c>
      <c r="P20">
        <f t="shared" si="0"/>
        <v>2</v>
      </c>
    </row>
    <row r="21" spans="1:30" hidden="1" x14ac:dyDescent="0.2">
      <c r="A21" t="s">
        <v>103</v>
      </c>
      <c r="B21" t="s">
        <v>104</v>
      </c>
      <c r="C21">
        <v>8311</v>
      </c>
      <c r="D21" t="s">
        <v>102</v>
      </c>
      <c r="E21">
        <v>0</v>
      </c>
      <c r="F21">
        <v>39999</v>
      </c>
      <c r="G21">
        <v>30000</v>
      </c>
      <c r="H21">
        <v>59999</v>
      </c>
      <c r="I21" t="s">
        <v>223</v>
      </c>
      <c r="J21">
        <f>MOD(E21+20000,100000)</f>
        <v>20000</v>
      </c>
      <c r="K21">
        <f>MOD(G21+15000,100000)</f>
        <v>45000</v>
      </c>
      <c r="L21" t="str">
        <f>_xlfn.CONCAT(TRIM($D21),TEXT(E21,"00000"),TEXT(H21,"00000"))</f>
        <v>EP0000059999</v>
      </c>
      <c r="M21" t="str">
        <f>_xlfn.CONCAT(TRIM($D21),TEXT(F21,"00000"),TEXT(H21,"00000"))</f>
        <v>EP3999959999</v>
      </c>
      <c r="N21" t="str">
        <f>_xlfn.CONCAT(TRIM($D21),TEXT(E21,"00000"),TEXT(G21,"00000"))</f>
        <v>EP0000030000</v>
      </c>
      <c r="O21" t="str">
        <f>_xlfn.CONCAT(TRIM($D21),TEXT(F21,"00000"),TEXT(G21,"00000"))</f>
        <v>EP3999930000</v>
      </c>
      <c r="P21">
        <f t="shared" si="0"/>
        <v>2</v>
      </c>
    </row>
    <row r="22" spans="1:30" hidden="1" x14ac:dyDescent="0.2">
      <c r="A22" t="s">
        <v>45</v>
      </c>
      <c r="B22" t="s">
        <v>46</v>
      </c>
      <c r="C22">
        <v>8112</v>
      </c>
      <c r="D22" t="s">
        <v>44</v>
      </c>
      <c r="E22">
        <v>80000</v>
      </c>
      <c r="F22">
        <v>19999</v>
      </c>
      <c r="G22">
        <v>40000</v>
      </c>
      <c r="H22">
        <v>69999</v>
      </c>
      <c r="I22" t="s">
        <v>228</v>
      </c>
      <c r="J22">
        <f>MOD(E22+20000,100000)</f>
        <v>0</v>
      </c>
      <c r="K22">
        <f>MOD(G22+15000,100000)</f>
        <v>55000</v>
      </c>
      <c r="L22" t="str">
        <f>_xlfn.CONCAT(LEFT(TRIM($D22),2),TEXT(E22,"00000"),TEXT(H22,"00000"))</f>
        <v>CN8000069999</v>
      </c>
      <c r="M22" t="str">
        <f>_xlfn.CONCAT(RIGHT(TRIM($D22),2),TEXT(F22,"00000"),TEXT(H22,"00000"))</f>
        <v>DN1999969999</v>
      </c>
      <c r="N22" t="str">
        <f>_xlfn.CONCAT(LEFT(TRIM($D22),2),TEXT(E22,"00000"),TEXT(G22,"00000"))</f>
        <v>CN8000040000</v>
      </c>
      <c r="O22" t="str">
        <f>_xlfn.CONCAT(RIGHT(TRIM($D22),2),TEXT(F22,"00000"),TEXT(G22,"00000"))</f>
        <v>DN1999940000</v>
      </c>
      <c r="P22">
        <f t="shared" si="0"/>
        <v>5</v>
      </c>
    </row>
    <row r="23" spans="1:30" hidden="1" x14ac:dyDescent="0.2">
      <c r="A23" t="s">
        <v>154</v>
      </c>
      <c r="B23" t="s">
        <v>155</v>
      </c>
      <c r="C23">
        <v>8411</v>
      </c>
      <c r="D23" t="s">
        <v>156</v>
      </c>
      <c r="E23">
        <v>80000</v>
      </c>
      <c r="F23">
        <v>19999</v>
      </c>
      <c r="G23">
        <v>60000</v>
      </c>
      <c r="H23">
        <v>89999</v>
      </c>
      <c r="I23" t="s">
        <v>233</v>
      </c>
      <c r="J23">
        <f>MOD(E23+20000,100000)</f>
        <v>0</v>
      </c>
      <c r="K23">
        <f>MOD(G23+15000,100000)</f>
        <v>75000</v>
      </c>
      <c r="L23" t="str">
        <f>_xlfn.CONCAT(LEFT(TRIM($D23),2),TEXT(E23,"00000"),TEXT(H23,"00000"))</f>
        <v>EP8000089999</v>
      </c>
      <c r="M23" t="str">
        <f>_xlfn.CONCAT(RIGHT(TRIM($D23),2),TEXT(F23,"00000"),TEXT(H23,"00000"))</f>
        <v>FP1999989999</v>
      </c>
      <c r="N23" t="str">
        <f>_xlfn.CONCAT(LEFT(TRIM($D23),2),TEXT(E23,"00000"),TEXT(G23,"00000"))</f>
        <v>EP8000060000</v>
      </c>
      <c r="O23" t="str">
        <f>_xlfn.CONCAT(RIGHT(TRIM($D23),2),TEXT(F23,"00000"),TEXT(G23,"00000"))</f>
        <v>FP1999960000</v>
      </c>
      <c r="P23">
        <f t="shared" si="0"/>
        <v>5</v>
      </c>
    </row>
    <row r="24" spans="1:30" hidden="1" x14ac:dyDescent="0.2">
      <c r="A24" t="s">
        <v>38</v>
      </c>
      <c r="B24" t="s">
        <v>39</v>
      </c>
      <c r="C24">
        <v>8113</v>
      </c>
      <c r="D24" t="s">
        <v>37</v>
      </c>
      <c r="E24">
        <v>80000</v>
      </c>
      <c r="F24">
        <v>19999</v>
      </c>
      <c r="G24">
        <v>30000</v>
      </c>
      <c r="H24">
        <v>59999</v>
      </c>
      <c r="I24" t="s">
        <v>222</v>
      </c>
      <c r="J24">
        <f>MOD(E24+20000,100000)</f>
        <v>0</v>
      </c>
      <c r="K24">
        <f>MOD(G24+15000,100000)</f>
        <v>45000</v>
      </c>
      <c r="L24" t="str">
        <f>_xlfn.CONCAT(LEFT(TRIM($D24),2),TEXT(E24,"00000"),TEXT(H24,"00000"))</f>
        <v>CP8000059999</v>
      </c>
      <c r="M24" t="str">
        <f>_xlfn.CONCAT(RIGHT(TRIM($D24),2),TEXT(F24,"00000"),TEXT(H24,"00000"))</f>
        <v>DP1999959999</v>
      </c>
      <c r="N24" t="str">
        <f>_xlfn.CONCAT(LEFT(TRIM($D24),2),TEXT(E24,"00000"),TEXT(G24,"00000"))</f>
        <v>CP8000030000</v>
      </c>
      <c r="O24" t="str">
        <f>_xlfn.CONCAT(RIGHT(TRIM($D24),2),TEXT(F24,"00000"),TEXT(G24,"00000"))</f>
        <v>DP1999930000</v>
      </c>
      <c r="P24">
        <f t="shared" si="0"/>
        <v>5</v>
      </c>
    </row>
    <row r="25" spans="1:30" hidden="1" x14ac:dyDescent="0.2">
      <c r="A25" t="s">
        <v>30</v>
      </c>
      <c r="B25" t="s">
        <v>31</v>
      </c>
      <c r="C25">
        <v>8114</v>
      </c>
      <c r="D25" t="s">
        <v>29</v>
      </c>
      <c r="E25">
        <v>80000</v>
      </c>
      <c r="F25">
        <v>19999</v>
      </c>
      <c r="G25">
        <v>20000</v>
      </c>
      <c r="H25">
        <v>49999</v>
      </c>
      <c r="I25" t="s">
        <v>226</v>
      </c>
      <c r="J25">
        <f>MOD(E25+20000,100000)</f>
        <v>0</v>
      </c>
      <c r="K25">
        <f>MOD(G25+15000,100000)</f>
        <v>35000</v>
      </c>
      <c r="L25" t="str">
        <f>_xlfn.CONCAT(LEFT(TRIM($D25),2),TEXT(E25,"00000"),TEXT(H25,"00000"))</f>
        <v>CQ8000049999</v>
      </c>
      <c r="M25" t="str">
        <f>_xlfn.CONCAT(RIGHT(TRIM($D25),2),TEXT(F25,"00000"),TEXT(H25,"00000"))</f>
        <v>DQ1999949999</v>
      </c>
      <c r="N25" t="str">
        <f>_xlfn.CONCAT(LEFT(TRIM($D25),2),TEXT(E25,"00000"),TEXT(G25,"00000"))</f>
        <v>CQ8000020000</v>
      </c>
      <c r="O25" t="str">
        <f>_xlfn.CONCAT(RIGHT(TRIM($D25),2),TEXT(F25,"00000"),TEXT(G25,"00000"))</f>
        <v>DQ1999920000</v>
      </c>
      <c r="P25">
        <f t="shared" si="0"/>
        <v>5</v>
      </c>
    </row>
    <row r="26" spans="1:30" hidden="1" x14ac:dyDescent="0.2">
      <c r="A26" t="s">
        <v>53</v>
      </c>
      <c r="B26" t="s">
        <v>54</v>
      </c>
      <c r="C26">
        <v>8113</v>
      </c>
      <c r="D26" t="s">
        <v>55</v>
      </c>
      <c r="E26">
        <v>20000</v>
      </c>
      <c r="F26">
        <v>59999</v>
      </c>
      <c r="G26">
        <v>90000</v>
      </c>
      <c r="H26">
        <v>19999</v>
      </c>
      <c r="I26" t="s">
        <v>225</v>
      </c>
      <c r="J26">
        <f>MOD(E26+20000,100000)</f>
        <v>40000</v>
      </c>
      <c r="K26">
        <f>MOD(G26+15000,100000)</f>
        <v>5000</v>
      </c>
      <c r="L26" t="str">
        <f>_xlfn.CONCAT(RIGHT(TRIM($D26),2),TEXT(E26,"00000"),TEXT(H26,"00000"))</f>
        <v>DQ2000019999</v>
      </c>
      <c r="M26" t="str">
        <f>_xlfn.CONCAT(RIGHT(TRIM($D26),2),TEXT(F26,"00000"),TEXT(H26,"00000"))</f>
        <v>DQ5999919999</v>
      </c>
      <c r="N26" t="str">
        <f>_xlfn.CONCAT(LEFT(TRIM($D26),2),TEXT(E26,"00000"),TEXT(G26,"00000"))</f>
        <v>DP2000090000</v>
      </c>
      <c r="O26" t="str">
        <f>_xlfn.CONCAT(LEFT(TRIM($D26),2),TEXT(F26,"00000"),TEXT(G26,"00000"))</f>
        <v>DP5999990000</v>
      </c>
      <c r="P26">
        <f t="shared" si="0"/>
        <v>5</v>
      </c>
    </row>
    <row r="27" spans="1:30" x14ac:dyDescent="0.2">
      <c r="A27" t="s">
        <v>137</v>
      </c>
      <c r="B27" s="3" t="s">
        <v>138</v>
      </c>
      <c r="C27">
        <v>8311</v>
      </c>
      <c r="D27" t="s">
        <v>109</v>
      </c>
      <c r="E27">
        <v>40000</v>
      </c>
      <c r="F27">
        <v>79999</v>
      </c>
      <c r="G27">
        <v>40000</v>
      </c>
      <c r="H27">
        <v>69999</v>
      </c>
      <c r="I27" t="s">
        <v>229</v>
      </c>
      <c r="J27">
        <f>MOD(E27+20000,100000)</f>
        <v>60000</v>
      </c>
      <c r="K27">
        <f>MOD(G27+15000,100000)</f>
        <v>55000</v>
      </c>
      <c r="L27" t="str">
        <f>_xlfn.CONCAT(TRIM($D27),TEXT(E27,"00000"),TEXT(H27,"00000"))</f>
        <v>EN4000069999</v>
      </c>
      <c r="M27" t="str">
        <f>_xlfn.CONCAT(TRIM($D27),TEXT(F27,"00000"),TEXT(H27,"00000"))</f>
        <v>EN7999969999</v>
      </c>
      <c r="N27" t="str">
        <f>_xlfn.CONCAT(TRIM($D27),TEXT(E27,"00000"),TEXT(G27,"00000"))</f>
        <v>EN4000040000</v>
      </c>
      <c r="O27" t="str">
        <f>_xlfn.CONCAT(TRIM($D27),TEXT(F27,"00000"),TEXT(G27,"00000"))</f>
        <v>EN7999940000</v>
      </c>
      <c r="P27">
        <f t="shared" si="0"/>
        <v>2</v>
      </c>
    </row>
    <row r="28" spans="1:30" hidden="1" x14ac:dyDescent="0.2">
      <c r="A28" t="s">
        <v>40</v>
      </c>
      <c r="B28" t="s">
        <v>41</v>
      </c>
      <c r="C28">
        <v>8212</v>
      </c>
      <c r="D28" t="s">
        <v>37</v>
      </c>
      <c r="E28">
        <v>80000</v>
      </c>
      <c r="F28">
        <v>19999</v>
      </c>
      <c r="G28">
        <v>0</v>
      </c>
      <c r="H28">
        <v>29999</v>
      </c>
      <c r="I28" t="s">
        <v>222</v>
      </c>
      <c r="J28">
        <f>MOD(E28+20000,100000)</f>
        <v>0</v>
      </c>
      <c r="K28">
        <f>MOD(G28+15000,100000)</f>
        <v>15000</v>
      </c>
      <c r="L28" t="str">
        <f>_xlfn.CONCAT(LEFT(TRIM($D28),2),TEXT(E28,"00000"),TEXT(H28,"00000"))</f>
        <v>CP8000029999</v>
      </c>
      <c r="M28" t="str">
        <f>_xlfn.CONCAT(RIGHT(TRIM($D28),2),TEXT(F28,"00000"),TEXT(H28,"00000"))</f>
        <v>DP1999929999</v>
      </c>
      <c r="N28" t="str">
        <f>_xlfn.CONCAT(LEFT(TRIM($D28),2),TEXT(E28,"00000"),TEXT(G28,"00000"))</f>
        <v>CP8000000000</v>
      </c>
      <c r="O28" t="str">
        <f>_xlfn.CONCAT(RIGHT(TRIM($D28),2),TEXT(F28,"00000"),TEXT(G28,"00000"))</f>
        <v>DP1999900000</v>
      </c>
      <c r="P28">
        <f t="shared" si="0"/>
        <v>5</v>
      </c>
    </row>
    <row r="29" spans="1:30" hidden="1" x14ac:dyDescent="0.2">
      <c r="A29" t="s">
        <v>159</v>
      </c>
      <c r="B29" t="s">
        <v>160</v>
      </c>
      <c r="C29">
        <v>7913</v>
      </c>
      <c r="D29" t="s">
        <v>156</v>
      </c>
      <c r="E29">
        <v>80000</v>
      </c>
      <c r="F29">
        <v>19999</v>
      </c>
      <c r="G29">
        <v>0</v>
      </c>
      <c r="H29">
        <v>29999</v>
      </c>
      <c r="I29" t="s">
        <v>233</v>
      </c>
      <c r="J29">
        <f>MOD(E29+20000,100000)</f>
        <v>0</v>
      </c>
      <c r="K29">
        <f>MOD(G29+15000,100000)</f>
        <v>15000</v>
      </c>
      <c r="L29" t="str">
        <f>_xlfn.CONCAT(LEFT(TRIM($D29),2),TEXT(E29,"00000"),TEXT(H29,"00000"))</f>
        <v>EP8000029999</v>
      </c>
      <c r="M29" t="str">
        <f>_xlfn.CONCAT(RIGHT(TRIM($D29),2),TEXT(F29,"00000"),TEXT(H29,"00000"))</f>
        <v>FP1999929999</v>
      </c>
      <c r="N29" t="str">
        <f>_xlfn.CONCAT(LEFT(TRIM($D29),2),TEXT(E29,"00000"),TEXT(G29,"00000"))</f>
        <v>EP8000000000</v>
      </c>
      <c r="O29" t="str">
        <f>_xlfn.CONCAT(RIGHT(TRIM($D29),2),TEXT(F29,"00000"),TEXT(G29,"00000"))</f>
        <v>FP1999900000</v>
      </c>
      <c r="P29">
        <f t="shared" si="0"/>
        <v>5</v>
      </c>
    </row>
    <row r="30" spans="1:30" hidden="1" x14ac:dyDescent="0.2">
      <c r="A30" t="s">
        <v>107</v>
      </c>
      <c r="B30" t="s">
        <v>108</v>
      </c>
      <c r="C30">
        <v>8312</v>
      </c>
      <c r="D30" t="s">
        <v>109</v>
      </c>
      <c r="E30">
        <v>0</v>
      </c>
      <c r="F30">
        <v>39999</v>
      </c>
      <c r="G30">
        <v>70000</v>
      </c>
      <c r="H30">
        <v>99999</v>
      </c>
      <c r="I30" t="s">
        <v>229</v>
      </c>
      <c r="J30">
        <f>MOD(E30+20000,100000)</f>
        <v>20000</v>
      </c>
      <c r="K30">
        <f>MOD(G30+15000,100000)</f>
        <v>85000</v>
      </c>
      <c r="L30" t="str">
        <f>_xlfn.CONCAT(TRIM($D30),TEXT(E30,"00000"),TEXT(H30,"00000"))</f>
        <v>EN0000099999</v>
      </c>
      <c r="M30" t="str">
        <f>_xlfn.CONCAT(TRIM($D30),TEXT(F30,"00000"),TEXT(H30,"00000"))</f>
        <v>EN3999999999</v>
      </c>
      <c r="N30" t="str">
        <f>_xlfn.CONCAT(TRIM($D30),TEXT(E30,"00000"),TEXT(G30,"00000"))</f>
        <v>EN0000070000</v>
      </c>
      <c r="O30" t="str">
        <f>_xlfn.CONCAT(TRIM($D30),TEXT(F30,"00000"),TEXT(G30,"00000"))</f>
        <v>EN3999970000</v>
      </c>
      <c r="P30">
        <f t="shared" si="0"/>
        <v>2</v>
      </c>
    </row>
    <row r="31" spans="1:30" hidden="1" x14ac:dyDescent="0.2">
      <c r="A31" t="s">
        <v>90</v>
      </c>
      <c r="B31" t="s">
        <v>91</v>
      </c>
      <c r="C31">
        <v>8211</v>
      </c>
      <c r="D31" t="s">
        <v>65</v>
      </c>
      <c r="E31">
        <v>60000</v>
      </c>
      <c r="F31">
        <v>99999</v>
      </c>
      <c r="G31">
        <v>10000</v>
      </c>
      <c r="H31">
        <v>39999</v>
      </c>
      <c r="I31" t="s">
        <v>228</v>
      </c>
      <c r="J31">
        <f>MOD(E31+20000,100000)</f>
        <v>80000</v>
      </c>
      <c r="K31">
        <f>MOD(G31+15000,100000)</f>
        <v>25000</v>
      </c>
      <c r="L31" t="str">
        <f>_xlfn.CONCAT(TRIM($D31),TEXT(E31,"00000"),TEXT(H31,"00000"))</f>
        <v>DN6000039999</v>
      </c>
      <c r="M31" t="str">
        <f>_xlfn.CONCAT(TRIM($D31),TEXT(F31,"00000"),TEXT(H31,"00000"))</f>
        <v>DN9999939999</v>
      </c>
      <c r="N31" t="str">
        <f>_xlfn.CONCAT(TRIM($D31),TEXT(E31,"00000"),TEXT(G31,"00000"))</f>
        <v>DN6000010000</v>
      </c>
      <c r="O31" t="str">
        <f>_xlfn.CONCAT(TRIM($D31),TEXT(F31,"00000"),TEXT(G31,"00000"))</f>
        <v>DN9999910000</v>
      </c>
      <c r="P31">
        <f t="shared" si="0"/>
        <v>2</v>
      </c>
    </row>
    <row r="32" spans="1:30" x14ac:dyDescent="0.2">
      <c r="A32" t="s">
        <v>192</v>
      </c>
      <c r="B32" s="3" t="s">
        <v>193</v>
      </c>
      <c r="D32" t="s">
        <v>219</v>
      </c>
      <c r="E32">
        <v>40000</v>
      </c>
      <c r="F32">
        <v>79999</v>
      </c>
      <c r="G32">
        <v>70000</v>
      </c>
      <c r="H32">
        <v>99999</v>
      </c>
      <c r="I32" t="s">
        <v>219</v>
      </c>
      <c r="J32">
        <f>MOD(E32+20000,100000)</f>
        <v>60000</v>
      </c>
      <c r="K32">
        <f>MOD(G32+15000,100000)</f>
        <v>85000</v>
      </c>
      <c r="L32" t="str">
        <f>_xlfn.CONCAT(TRIM($D32),TEXT(E32,"00000"),TEXT(H32,"00000"))</f>
        <v>CN4000099999</v>
      </c>
      <c r="M32" t="str">
        <f>_xlfn.CONCAT(TRIM($D32),TEXT(F32,"00000"),TEXT(H32,"00000"))</f>
        <v>CN7999999999</v>
      </c>
      <c r="N32" t="str">
        <f>_xlfn.CONCAT(TRIM($D32),TEXT(E32,"00000"),TEXT(G32,"00000"))</f>
        <v>CN4000070000</v>
      </c>
      <c r="O32" t="str">
        <f>_xlfn.CONCAT(TRIM($D32),TEXT(F32,"00000"),TEXT(G32,"00000"))</f>
        <v>CN7999970000</v>
      </c>
      <c r="P32">
        <f t="shared" si="0"/>
        <v>2</v>
      </c>
      <c r="S32" t="s">
        <v>265</v>
      </c>
      <c r="T32" t="s">
        <v>277</v>
      </c>
      <c r="U32" t="s">
        <v>266</v>
      </c>
      <c r="V32" t="s">
        <v>267</v>
      </c>
      <c r="W32" t="s">
        <v>296</v>
      </c>
      <c r="X32" t="s">
        <v>297</v>
      </c>
      <c r="Y32" t="s">
        <v>298</v>
      </c>
      <c r="Z32" t="s">
        <v>299</v>
      </c>
      <c r="AA32" t="s">
        <v>300</v>
      </c>
      <c r="AB32" t="s">
        <v>301</v>
      </c>
      <c r="AC32" t="s">
        <v>302</v>
      </c>
      <c r="AD32" t="s">
        <v>303</v>
      </c>
    </row>
    <row r="33" spans="1:26" hidden="1" x14ac:dyDescent="0.2">
      <c r="A33" t="s">
        <v>100</v>
      </c>
      <c r="B33" t="s">
        <v>101</v>
      </c>
      <c r="C33">
        <v>8213</v>
      </c>
      <c r="D33" t="s">
        <v>102</v>
      </c>
      <c r="E33">
        <v>0</v>
      </c>
      <c r="F33">
        <v>39999</v>
      </c>
      <c r="G33">
        <v>60000</v>
      </c>
      <c r="H33">
        <v>89999</v>
      </c>
      <c r="I33" t="s">
        <v>223</v>
      </c>
      <c r="J33">
        <f>MOD(E33+20000,100000)</f>
        <v>20000</v>
      </c>
      <c r="K33">
        <f>MOD(G33+15000,100000)</f>
        <v>75000</v>
      </c>
      <c r="L33" t="str">
        <f>_xlfn.CONCAT(TRIM($D33),TEXT(E33,"00000"),TEXT(H33,"00000"))</f>
        <v>EP0000089999</v>
      </c>
      <c r="M33" t="str">
        <f>_xlfn.CONCAT(TRIM($D33),TEXT(F33,"00000"),TEXT(H33,"00000"))</f>
        <v>EP3999989999</v>
      </c>
      <c r="N33" t="str">
        <f>_xlfn.CONCAT(TRIM($D33),TEXT(E33,"00000"),TEXT(G33,"00000"))</f>
        <v>EP0000060000</v>
      </c>
      <c r="O33" t="str">
        <f>_xlfn.CONCAT(TRIM($D33),TEXT(F33,"00000"),TEXT(G33,"00000"))</f>
        <v>EP3999960000</v>
      </c>
      <c r="P33">
        <f t="shared" si="0"/>
        <v>2</v>
      </c>
    </row>
    <row r="34" spans="1:26" hidden="1" x14ac:dyDescent="0.2">
      <c r="A34" t="s">
        <v>56</v>
      </c>
      <c r="B34" t="s">
        <v>57</v>
      </c>
      <c r="C34">
        <v>8114</v>
      </c>
      <c r="D34" t="s">
        <v>58</v>
      </c>
      <c r="E34">
        <v>20000</v>
      </c>
      <c r="F34">
        <v>59999</v>
      </c>
      <c r="G34">
        <v>60000</v>
      </c>
      <c r="H34">
        <v>89999</v>
      </c>
      <c r="I34" t="s">
        <v>222</v>
      </c>
      <c r="J34">
        <f>MOD(E34+20000,100000)</f>
        <v>40000</v>
      </c>
      <c r="K34">
        <f>MOD(G34+15000,100000)</f>
        <v>75000</v>
      </c>
      <c r="L34" t="str">
        <f>_xlfn.CONCAT(TRIM($D34),TEXT(E34,"00000"),TEXT(H34,"00000"))</f>
        <v>DP2000089999</v>
      </c>
      <c r="M34" t="str">
        <f>_xlfn.CONCAT(TRIM($D34),TEXT(F34,"00000"),TEXT(H34,"00000"))</f>
        <v>DP5999989999</v>
      </c>
      <c r="N34" t="str">
        <f>_xlfn.CONCAT(TRIM($D34),TEXT(E34,"00000"),TEXT(G34,"00000"))</f>
        <v>DP2000060000</v>
      </c>
      <c r="O34" t="str">
        <f>_xlfn.CONCAT(TRIM($D34),TEXT(F34,"00000"),TEXT(G34,"00000"))</f>
        <v>DP5999960000</v>
      </c>
      <c r="P34">
        <f t="shared" ref="P34:P65" si="1">LEN(TRIM(D34))</f>
        <v>2</v>
      </c>
    </row>
    <row r="35" spans="1:26" hidden="1" x14ac:dyDescent="0.2">
      <c r="A35" t="s">
        <v>203</v>
      </c>
      <c r="B35" s="2" t="s">
        <v>201</v>
      </c>
      <c r="D35" t="s">
        <v>119</v>
      </c>
      <c r="E35">
        <v>0</v>
      </c>
      <c r="F35">
        <v>39999</v>
      </c>
      <c r="G35">
        <v>30000</v>
      </c>
      <c r="H35">
        <v>59999</v>
      </c>
      <c r="I35" t="s">
        <v>231</v>
      </c>
      <c r="J35">
        <f>MOD(E35+20000,100000)</f>
        <v>20000</v>
      </c>
      <c r="K35">
        <f>MOD(G35+15000,100000)</f>
        <v>45000</v>
      </c>
      <c r="L35" t="str">
        <f>_xlfn.CONCAT(TRIM($D35),TEXT(E35,"00000"),TEXT(H35,"00000"))</f>
        <v>ES0000059999</v>
      </c>
      <c r="M35" t="str">
        <f>_xlfn.CONCAT(TRIM($D35),TEXT(F35,"00000"),TEXT(H35,"00000"))</f>
        <v>ES3999959999</v>
      </c>
      <c r="N35" t="str">
        <f>_xlfn.CONCAT(TRIM($D35),TEXT(E35,"00000"),TEXT(G35,"00000"))</f>
        <v>ES0000030000</v>
      </c>
      <c r="O35" t="str">
        <f>_xlfn.CONCAT(TRIM($D35),TEXT(F35,"00000"),TEXT(G35,"00000"))</f>
        <v>ES3999930000</v>
      </c>
      <c r="P35">
        <f t="shared" si="1"/>
        <v>2</v>
      </c>
    </row>
    <row r="36" spans="1:26" hidden="1" x14ac:dyDescent="0.2">
      <c r="A36" t="s">
        <v>61</v>
      </c>
      <c r="B36" t="s">
        <v>62</v>
      </c>
      <c r="C36">
        <v>8212</v>
      </c>
      <c r="D36" t="s">
        <v>58</v>
      </c>
      <c r="E36">
        <v>20000</v>
      </c>
      <c r="F36">
        <v>59999</v>
      </c>
      <c r="G36">
        <v>0</v>
      </c>
      <c r="H36">
        <v>29999</v>
      </c>
      <c r="I36" t="s">
        <v>222</v>
      </c>
      <c r="J36">
        <f>MOD(E36+20000,100000)</f>
        <v>40000</v>
      </c>
      <c r="K36">
        <f>MOD(G36+15000,100000)</f>
        <v>15000</v>
      </c>
      <c r="L36" t="str">
        <f>_xlfn.CONCAT(TRIM($D36),TEXT(E36,"00000"),TEXT(H36,"00000"))</f>
        <v>DP2000029999</v>
      </c>
      <c r="M36" t="str">
        <f>_xlfn.CONCAT(TRIM($D36),TEXT(F36,"00000"),TEXT(H36,"00000"))</f>
        <v>DP5999929999</v>
      </c>
      <c r="N36" t="str">
        <f>_xlfn.CONCAT(TRIM($D36),TEXT(E36,"00000"),TEXT(G36,"00000"))</f>
        <v>DP2000000000</v>
      </c>
      <c r="O36" t="str">
        <f>_xlfn.CONCAT(TRIM($D36),TEXT(F36,"00000"),TEXT(G36,"00000"))</f>
        <v>DP5999900000</v>
      </c>
      <c r="P36">
        <f t="shared" si="1"/>
        <v>2</v>
      </c>
    </row>
    <row r="37" spans="1:26" hidden="1" x14ac:dyDescent="0.2">
      <c r="A37" t="s">
        <v>131</v>
      </c>
      <c r="B37" t="s">
        <v>132</v>
      </c>
      <c r="C37">
        <v>8213</v>
      </c>
      <c r="D37" t="s">
        <v>102</v>
      </c>
      <c r="E37">
        <v>40000</v>
      </c>
      <c r="F37">
        <v>79999</v>
      </c>
      <c r="G37">
        <v>30000</v>
      </c>
      <c r="H37">
        <v>59999</v>
      </c>
      <c r="I37" t="s">
        <v>223</v>
      </c>
      <c r="J37">
        <f>MOD(E37+20000,100000)</f>
        <v>60000</v>
      </c>
      <c r="K37">
        <f>MOD(G37+15000,100000)</f>
        <v>45000</v>
      </c>
      <c r="L37" t="str">
        <f>_xlfn.CONCAT(TRIM($D37),TEXT(E37,"00000"),TEXT(H37,"00000"))</f>
        <v>EP4000059999</v>
      </c>
      <c r="M37" t="str">
        <f>_xlfn.CONCAT(TRIM($D37),TEXT(F37,"00000"),TEXT(H37,"00000"))</f>
        <v>EP7999959999</v>
      </c>
      <c r="N37" t="str">
        <f>_xlfn.CONCAT(TRIM($D37),TEXT(E37,"00000"),TEXT(G37,"00000"))</f>
        <v>EP4000030000</v>
      </c>
      <c r="O37" t="str">
        <f>_xlfn.CONCAT(TRIM($D37),TEXT(F37,"00000"),TEXT(G37,"00000"))</f>
        <v>EP7999930000</v>
      </c>
      <c r="P37">
        <f t="shared" si="1"/>
        <v>2</v>
      </c>
    </row>
    <row r="38" spans="1:26" hidden="1" x14ac:dyDescent="0.2">
      <c r="A38" t="s">
        <v>66</v>
      </c>
      <c r="B38" t="s">
        <v>67</v>
      </c>
      <c r="C38">
        <v>8112</v>
      </c>
      <c r="D38" t="s">
        <v>65</v>
      </c>
      <c r="E38">
        <v>20000</v>
      </c>
      <c r="F38">
        <v>59999</v>
      </c>
      <c r="G38">
        <v>40000</v>
      </c>
      <c r="H38">
        <v>69999</v>
      </c>
      <c r="I38" t="s">
        <v>228</v>
      </c>
      <c r="J38">
        <f>MOD(E38+20000,100000)</f>
        <v>40000</v>
      </c>
      <c r="K38">
        <f>MOD(G38+15000,100000)</f>
        <v>55000</v>
      </c>
      <c r="L38" t="str">
        <f>_xlfn.CONCAT(TRIM($D38),TEXT(E38,"00000"),TEXT(H38,"00000"))</f>
        <v>DN2000069999</v>
      </c>
      <c r="M38" t="str">
        <f>_xlfn.CONCAT(TRIM($D38),TEXT(F38,"00000"),TEXT(H38,"00000"))</f>
        <v>DN5999969999</v>
      </c>
      <c r="N38" t="str">
        <f>_xlfn.CONCAT(TRIM($D38),TEXT(E38,"00000"),TEXT(G38,"00000"))</f>
        <v>DN2000040000</v>
      </c>
      <c r="O38" t="str">
        <f>_xlfn.CONCAT(TRIM($D38),TEXT(F38,"00000"),TEXT(G38,"00000"))</f>
        <v>DN5999940000</v>
      </c>
      <c r="P38">
        <f t="shared" si="1"/>
        <v>2</v>
      </c>
    </row>
    <row r="39" spans="1:26" hidden="1" x14ac:dyDescent="0.2">
      <c r="A39" t="s">
        <v>20</v>
      </c>
      <c r="B39" t="s">
        <v>21</v>
      </c>
      <c r="C39">
        <v>7914</v>
      </c>
      <c r="D39" t="s">
        <v>22</v>
      </c>
      <c r="E39">
        <v>40000</v>
      </c>
      <c r="F39">
        <v>79999</v>
      </c>
      <c r="G39">
        <v>60000</v>
      </c>
      <c r="H39">
        <v>89999</v>
      </c>
      <c r="I39" t="s">
        <v>224</v>
      </c>
      <c r="J39">
        <f>MOD(E39+20000,100000)</f>
        <v>60000</v>
      </c>
      <c r="K39">
        <f>MOD(G39+15000,100000)</f>
        <v>75000</v>
      </c>
      <c r="L39" t="str">
        <f>_xlfn.CONCAT(TRIM($D39),TEXT(E39,"00000"),TEXT(H39,"00000"))</f>
        <v>CP4000089999</v>
      </c>
      <c r="M39" t="str">
        <f>_xlfn.CONCAT(TRIM($D39),TEXT(F39,"00000"),TEXT(H39,"00000"))</f>
        <v>CP7999989999</v>
      </c>
      <c r="N39" t="str">
        <f>_xlfn.CONCAT(TRIM($D39),TEXT(E39,"00000"),TEXT(G39,"00000"))</f>
        <v>CP4000060000</v>
      </c>
      <c r="O39" t="str">
        <f>_xlfn.CONCAT(TRIM($D39),TEXT(F39,"00000"),TEXT(G39,"00000"))</f>
        <v>CP7999960000</v>
      </c>
      <c r="P39">
        <f t="shared" si="1"/>
        <v>2</v>
      </c>
    </row>
    <row r="40" spans="1:26" hidden="1" x14ac:dyDescent="0.2">
      <c r="A40" t="s">
        <v>125</v>
      </c>
      <c r="B40" t="s">
        <v>126</v>
      </c>
      <c r="C40">
        <v>8416</v>
      </c>
      <c r="D40" t="s">
        <v>96</v>
      </c>
      <c r="E40">
        <v>40000</v>
      </c>
      <c r="F40">
        <v>79999</v>
      </c>
      <c r="G40">
        <v>20000</v>
      </c>
      <c r="H40">
        <v>49999</v>
      </c>
      <c r="I40" t="s">
        <v>225</v>
      </c>
      <c r="J40">
        <f>MOD(E40+20000,100000)</f>
        <v>60000</v>
      </c>
      <c r="K40">
        <f>MOD(G40+15000,100000)</f>
        <v>35000</v>
      </c>
      <c r="L40" t="str">
        <f>_xlfn.CONCAT(TRIM($D40),TEXT(E40,"00000"),TEXT(H40,"00000"))</f>
        <v>EQ4000049999</v>
      </c>
      <c r="M40" t="str">
        <f>_xlfn.CONCAT(TRIM($D40),TEXT(F40,"00000"),TEXT(H40,"00000"))</f>
        <v>EQ7999949999</v>
      </c>
      <c r="N40" t="str">
        <f>_xlfn.CONCAT(TRIM($D40),TEXT(E40,"00000"),TEXT(G40,"00000"))</f>
        <v>EQ4000020000</v>
      </c>
      <c r="O40" t="str">
        <f>_xlfn.CONCAT(TRIM($D40),TEXT(F40,"00000"),TEXT(G40,"00000"))</f>
        <v>EQ7999920000</v>
      </c>
      <c r="P40">
        <f t="shared" si="1"/>
        <v>2</v>
      </c>
    </row>
    <row r="41" spans="1:26" hidden="1" x14ac:dyDescent="0.2">
      <c r="A41" t="s">
        <v>25</v>
      </c>
      <c r="B41" t="s">
        <v>26</v>
      </c>
      <c r="C41">
        <v>7913</v>
      </c>
      <c r="D41" t="s">
        <v>22</v>
      </c>
      <c r="E41">
        <v>40000</v>
      </c>
      <c r="F41">
        <v>79999</v>
      </c>
      <c r="G41">
        <v>0</v>
      </c>
      <c r="H41">
        <v>29999</v>
      </c>
      <c r="I41" t="s">
        <v>224</v>
      </c>
      <c r="J41">
        <f>MOD(E41+20000,100000)</f>
        <v>60000</v>
      </c>
      <c r="K41">
        <f>MOD(G41+15000,100000)</f>
        <v>15000</v>
      </c>
      <c r="L41" t="str">
        <f>_xlfn.CONCAT(TRIM($D41),TEXT(E41,"00000"),TEXT(H41,"00000"))</f>
        <v>CP4000029999</v>
      </c>
      <c r="M41" t="str">
        <f>_xlfn.CONCAT(TRIM($D41),TEXT(F41,"00000"),TEXT(H41,"00000"))</f>
        <v>CP7999929999</v>
      </c>
      <c r="N41" t="str">
        <f>_xlfn.CONCAT(TRIM($D41),TEXT(E41,"00000"),TEXT(G41,"00000"))</f>
        <v>CP4000000000</v>
      </c>
      <c r="O41" t="str">
        <f>_xlfn.CONCAT(TRIM($D41),TEXT(F41,"00000"),TEXT(G41,"00000"))</f>
        <v>CP7999900000</v>
      </c>
      <c r="P41">
        <f t="shared" si="1"/>
        <v>2</v>
      </c>
    </row>
    <row r="42" spans="1:26" x14ac:dyDescent="0.2">
      <c r="A42" t="s">
        <v>161</v>
      </c>
      <c r="B42" s="3" t="s">
        <v>162</v>
      </c>
      <c r="C42">
        <v>8313</v>
      </c>
      <c r="D42" t="s">
        <v>163</v>
      </c>
      <c r="E42">
        <v>80000</v>
      </c>
      <c r="F42">
        <v>19999</v>
      </c>
      <c r="G42">
        <v>70000</v>
      </c>
      <c r="H42">
        <v>99999</v>
      </c>
      <c r="I42" t="s">
        <v>232</v>
      </c>
      <c r="J42">
        <f>MOD(E42+20000,100000)</f>
        <v>0</v>
      </c>
      <c r="K42">
        <f>MOD(G42+15000,100000)</f>
        <v>85000</v>
      </c>
      <c r="L42" t="str">
        <f>_xlfn.CONCAT(LEFT(TRIM($D42),2),TEXT(E42,"00000"),TEXT(H42,"00000"))</f>
        <v>EN8000099999</v>
      </c>
      <c r="M42" t="str">
        <f>_xlfn.CONCAT(RIGHT(TRIM($D42),2),TEXT(F42,"00000"),TEXT(H42,"00000"))</f>
        <v>FN1999999999</v>
      </c>
      <c r="N42" t="str">
        <f>_xlfn.CONCAT(LEFT(TRIM($D42),2),TEXT(E42,"00000"),TEXT(G42,"00000"))</f>
        <v>EN8000070000</v>
      </c>
      <c r="O42" t="str">
        <f>_xlfn.CONCAT(RIGHT(TRIM($D42),2),TEXT(F42,"00000"),TEXT(G42,"00000"))</f>
        <v>FN1999970000</v>
      </c>
      <c r="P42">
        <f t="shared" si="1"/>
        <v>5</v>
      </c>
    </row>
    <row r="43" spans="1:26" hidden="1" x14ac:dyDescent="0.2">
      <c r="A43" t="s">
        <v>86</v>
      </c>
      <c r="B43" t="s">
        <v>87</v>
      </c>
      <c r="C43">
        <v>8212</v>
      </c>
      <c r="D43" t="s">
        <v>65</v>
      </c>
      <c r="E43">
        <v>60000</v>
      </c>
      <c r="F43">
        <v>99999</v>
      </c>
      <c r="G43">
        <v>70000</v>
      </c>
      <c r="H43">
        <v>99999</v>
      </c>
      <c r="I43" t="s">
        <v>228</v>
      </c>
      <c r="J43">
        <f>MOD(E43+20000,100000)</f>
        <v>80000</v>
      </c>
      <c r="K43">
        <f>MOD(G43+15000,100000)</f>
        <v>85000</v>
      </c>
      <c r="L43" t="str">
        <f>_xlfn.CONCAT(TRIM($D43),TEXT(E43,"00000"),TEXT(H43,"00000"))</f>
        <v>DN6000099999</v>
      </c>
      <c r="M43" t="str">
        <f>_xlfn.CONCAT(TRIM($D43),TEXT(F43,"00000"),TEXT(H43,"00000"))</f>
        <v>DN9999999999</v>
      </c>
      <c r="N43" t="str">
        <f>_xlfn.CONCAT(TRIM($D43),TEXT(E43,"00000"),TEXT(G43,"00000"))</f>
        <v>DN6000070000</v>
      </c>
      <c r="O43" t="str">
        <f>_xlfn.CONCAT(TRIM($D43),TEXT(F43,"00000"),TEXT(G43,"00000"))</f>
        <v>DN9999970000</v>
      </c>
      <c r="P43">
        <f t="shared" si="1"/>
        <v>2</v>
      </c>
    </row>
    <row r="44" spans="1:26" hidden="1" x14ac:dyDescent="0.2">
      <c r="A44" t="s">
        <v>78</v>
      </c>
      <c r="B44" t="s">
        <v>79</v>
      </c>
      <c r="C44">
        <v>8114</v>
      </c>
      <c r="D44" t="s">
        <v>55</v>
      </c>
      <c r="E44">
        <v>60000</v>
      </c>
      <c r="F44">
        <v>99999</v>
      </c>
      <c r="G44">
        <v>90000</v>
      </c>
      <c r="H44">
        <v>19999</v>
      </c>
      <c r="I44" t="s">
        <v>226</v>
      </c>
      <c r="J44">
        <f>MOD(E44+20000,100000)</f>
        <v>80000</v>
      </c>
      <c r="K44">
        <f>MOD(G44+15000,100000)</f>
        <v>5000</v>
      </c>
      <c r="L44" t="str">
        <f>_xlfn.CONCAT(RIGHT(TRIM($D44),2),TEXT(E44,"00000"),TEXT(H44,"00000"))</f>
        <v>DQ6000019999</v>
      </c>
      <c r="M44" t="str">
        <f>_xlfn.CONCAT(RIGHT(TRIM($D44),2),TEXT(F44,"00000"),TEXT(H44,"00000"))</f>
        <v>DQ9999919999</v>
      </c>
      <c r="N44" t="str">
        <f>_xlfn.CONCAT(LEFT(TRIM($D44),2),TEXT(E44,"00000"),TEXT(G44,"00000"))</f>
        <v>DP6000090000</v>
      </c>
      <c r="O44" t="str">
        <f>_xlfn.CONCAT(LEFT(TRIM($D44),2),TEXT(F44,"00000"),TEXT(G44,"00000"))</f>
        <v>DP9999990000</v>
      </c>
      <c r="P44">
        <f t="shared" si="1"/>
        <v>5</v>
      </c>
    </row>
    <row r="45" spans="1:26" x14ac:dyDescent="0.2">
      <c r="A45" t="s">
        <v>8</v>
      </c>
      <c r="B45" s="3" t="s">
        <v>9</v>
      </c>
      <c r="C45">
        <v>7916</v>
      </c>
      <c r="D45" t="s">
        <v>10</v>
      </c>
      <c r="E45">
        <v>0</v>
      </c>
      <c r="F45">
        <v>39999</v>
      </c>
      <c r="G45">
        <v>50000</v>
      </c>
      <c r="H45">
        <v>79999</v>
      </c>
      <c r="I45" t="s">
        <v>218</v>
      </c>
      <c r="J45">
        <f>MOD(E45+20000,100000)</f>
        <v>20000</v>
      </c>
      <c r="K45">
        <f>MOD(G45+15000,100000)</f>
        <v>65000</v>
      </c>
      <c r="L45" t="str">
        <f>_xlfn.CONCAT(TRIM($D45),TEXT(E45,"00000"),TEXT(H45,"00000"))</f>
        <v>CQ0000079999</v>
      </c>
      <c r="M45" t="str">
        <f>_xlfn.CONCAT(TRIM($D45),TEXT(F45,"00000"),TEXT(H45,"00000"))</f>
        <v>CQ3999979999</v>
      </c>
      <c r="N45" t="str">
        <f>_xlfn.CONCAT(TRIM($D45),TEXT(E45,"00000"),TEXT(G45,"00000"))</f>
        <v>CQ0000050000</v>
      </c>
      <c r="O45" t="str">
        <f>_xlfn.CONCAT(TRIM($D45),TEXT(F45,"00000"),TEXT(G45,"00000"))</f>
        <v>CQ3999950000</v>
      </c>
      <c r="P45">
        <f t="shared" si="1"/>
        <v>2</v>
      </c>
      <c r="S45" t="s">
        <v>268</v>
      </c>
      <c r="T45" t="s">
        <v>276</v>
      </c>
      <c r="U45" t="s">
        <v>270</v>
      </c>
      <c r="V45" t="s">
        <v>271</v>
      </c>
      <c r="W45" t="s">
        <v>304</v>
      </c>
      <c r="X45" t="s">
        <v>305</v>
      </c>
      <c r="Y45" t="s">
        <v>306</v>
      </c>
      <c r="Z45" t="s">
        <v>307</v>
      </c>
    </row>
    <row r="46" spans="1:26" hidden="1" x14ac:dyDescent="0.2">
      <c r="A46" t="s">
        <v>157</v>
      </c>
      <c r="B46" t="s">
        <v>158</v>
      </c>
      <c r="C46">
        <v>8514</v>
      </c>
      <c r="D46" t="s">
        <v>156</v>
      </c>
      <c r="E46">
        <v>80000</v>
      </c>
      <c r="F46">
        <v>19999</v>
      </c>
      <c r="G46">
        <v>30000</v>
      </c>
      <c r="H46">
        <v>59999</v>
      </c>
      <c r="I46" t="s">
        <v>233</v>
      </c>
      <c r="J46">
        <f>MOD(E46+20000,100000)</f>
        <v>0</v>
      </c>
      <c r="K46">
        <f>MOD(G46+15000,100000)</f>
        <v>45000</v>
      </c>
      <c r="L46" t="str">
        <f>_xlfn.CONCAT(LEFT(TRIM($D46),2),TEXT(E46,"00000"),TEXT(H46,"00000"))</f>
        <v>EP8000059999</v>
      </c>
      <c r="M46" t="str">
        <f>_xlfn.CONCAT(RIGHT(TRIM($D46),2),TEXT(F46,"00000"),TEXT(H46,"00000"))</f>
        <v>FP1999959999</v>
      </c>
      <c r="N46" t="str">
        <f>_xlfn.CONCAT(LEFT(TRIM($D46),2),TEXT(E46,"00000"),TEXT(G46,"00000"))</f>
        <v>EP8000030000</v>
      </c>
      <c r="O46" t="str">
        <f>_xlfn.CONCAT(RIGHT(TRIM($D46),2),TEXT(F46,"00000"),TEXT(G46,"00000"))</f>
        <v>FP1999930000</v>
      </c>
      <c r="P46">
        <f t="shared" si="1"/>
        <v>5</v>
      </c>
    </row>
    <row r="47" spans="1:26" hidden="1" x14ac:dyDescent="0.2">
      <c r="A47" t="s">
        <v>146</v>
      </c>
      <c r="B47" t="s">
        <v>147</v>
      </c>
      <c r="C47">
        <v>8517</v>
      </c>
      <c r="D47" t="s">
        <v>148</v>
      </c>
      <c r="E47">
        <v>80000</v>
      </c>
      <c r="F47">
        <v>19999</v>
      </c>
      <c r="G47">
        <v>50000</v>
      </c>
      <c r="H47">
        <v>79999</v>
      </c>
      <c r="I47" t="s">
        <v>234</v>
      </c>
      <c r="J47">
        <f>MOD(E47+20000,100000)</f>
        <v>0</v>
      </c>
      <c r="K47">
        <f>MOD(G47+15000,100000)</f>
        <v>65000</v>
      </c>
      <c r="L47" t="str">
        <f>_xlfn.CONCAT(LEFT(TRIM($D47),2),TEXT(E47,"00000"),TEXT(H47,"00000"))</f>
        <v>EQ8000079999</v>
      </c>
      <c r="M47" t="str">
        <f>_xlfn.CONCAT(RIGHT(TRIM($D47),2),TEXT(F47,"00000"),TEXT(H47,"00000"))</f>
        <v>FQ1999979999</v>
      </c>
      <c r="N47" t="str">
        <f>_xlfn.CONCAT(LEFT(TRIM($D47),2),TEXT(E47,"00000"),TEXT(G47,"00000"))</f>
        <v>EQ8000050000</v>
      </c>
      <c r="O47" t="str">
        <f>_xlfn.CONCAT(RIGHT(TRIM($D47),2),TEXT(F47,"00000"),TEXT(G47,"00000"))</f>
        <v>FQ1999950000</v>
      </c>
      <c r="P47">
        <f t="shared" si="1"/>
        <v>5</v>
      </c>
    </row>
    <row r="48" spans="1:26" hidden="1" x14ac:dyDescent="0.2">
      <c r="A48" t="s">
        <v>35</v>
      </c>
      <c r="B48" t="s">
        <v>36</v>
      </c>
      <c r="C48">
        <v>8113</v>
      </c>
      <c r="D48" t="s">
        <v>37</v>
      </c>
      <c r="E48">
        <v>80000</v>
      </c>
      <c r="F48">
        <v>19999</v>
      </c>
      <c r="G48">
        <v>60000</v>
      </c>
      <c r="H48">
        <v>89999</v>
      </c>
      <c r="I48" t="s">
        <v>222</v>
      </c>
      <c r="J48">
        <f>MOD(E48+20000,100000)</f>
        <v>0</v>
      </c>
      <c r="K48">
        <f>MOD(G48+15000,100000)</f>
        <v>75000</v>
      </c>
      <c r="L48" t="str">
        <f>_xlfn.CONCAT(LEFT(TRIM($D48),2),TEXT(E48,"00000"),TEXT(H48,"00000"))</f>
        <v>CP8000089999</v>
      </c>
      <c r="M48" t="str">
        <f>_xlfn.CONCAT(RIGHT(TRIM($D48),2),TEXT(F48,"00000"),TEXT(H48,"00000"))</f>
        <v>DP1999989999</v>
      </c>
      <c r="N48" t="str">
        <f>_xlfn.CONCAT(LEFT(TRIM($D48),2),TEXT(E48,"00000"),TEXT(G48,"00000"))</f>
        <v>CP8000060000</v>
      </c>
      <c r="O48" t="str">
        <f>_xlfn.CONCAT(RIGHT(TRIM($D48),2),TEXT(F48,"00000"),TEXT(G48,"00000"))</f>
        <v>DP1999960000</v>
      </c>
      <c r="P48">
        <f t="shared" si="1"/>
        <v>5</v>
      </c>
      <c r="Q48" t="str">
        <f>IF(F48&lt;E48,"Y","")</f>
        <v>Y</v>
      </c>
    </row>
    <row r="49" spans="1:46" hidden="1" x14ac:dyDescent="0.2">
      <c r="A49" t="s">
        <v>151</v>
      </c>
      <c r="B49" t="s">
        <v>152</v>
      </c>
      <c r="C49">
        <v>8416</v>
      </c>
      <c r="D49" t="s">
        <v>153</v>
      </c>
      <c r="E49">
        <v>80000</v>
      </c>
      <c r="F49">
        <v>19999</v>
      </c>
      <c r="G49">
        <v>90000</v>
      </c>
      <c r="H49">
        <v>19999</v>
      </c>
      <c r="I49" t="s">
        <v>234</v>
      </c>
      <c r="J49">
        <f>MOD(E49+20000,100000)</f>
        <v>0</v>
      </c>
      <c r="K49">
        <f>MOD(G49+15000,100000)</f>
        <v>5000</v>
      </c>
      <c r="L49" t="s">
        <v>252</v>
      </c>
      <c r="M49" t="s">
        <v>253</v>
      </c>
      <c r="N49" t="s">
        <v>254</v>
      </c>
      <c r="O49" t="s">
        <v>255</v>
      </c>
      <c r="P49">
        <f t="shared" si="1"/>
        <v>11</v>
      </c>
      <c r="Q49" t="str">
        <f t="shared" ref="Q49:Q73" si="2">IF(F49&lt;E49,"Y","")</f>
        <v>Y</v>
      </c>
    </row>
    <row r="50" spans="1:46" hidden="1" x14ac:dyDescent="0.2">
      <c r="A50" t="s">
        <v>199</v>
      </c>
      <c r="B50" t="s">
        <v>198</v>
      </c>
      <c r="D50" t="s">
        <v>96</v>
      </c>
      <c r="E50">
        <v>0</v>
      </c>
      <c r="F50">
        <v>39999</v>
      </c>
      <c r="G50">
        <v>50000</v>
      </c>
      <c r="H50">
        <v>79999</v>
      </c>
      <c r="I50" t="s">
        <v>225</v>
      </c>
      <c r="J50">
        <f>MOD(E50+20000,100000)</f>
        <v>20000</v>
      </c>
      <c r="K50">
        <f>MOD(G50+15000,100000)</f>
        <v>65000</v>
      </c>
      <c r="L50" t="str">
        <f>_xlfn.CONCAT(TRIM($D50),TEXT(E50,"00000"),TEXT(H50,"00000"))</f>
        <v>EQ0000079999</v>
      </c>
      <c r="M50" t="str">
        <f>_xlfn.CONCAT(TRIM($D50),TEXT(F50,"00000"),TEXT(H50,"00000"))</f>
        <v>EQ3999979999</v>
      </c>
      <c r="N50" t="str">
        <f>_xlfn.CONCAT(TRIM($D50),TEXT(E50,"00000"),TEXT(G50,"00000"))</f>
        <v>EQ0000050000</v>
      </c>
      <c r="O50" t="str">
        <f>_xlfn.CONCAT(TRIM($D50),TEXT(F50,"00000"),TEXT(G50,"00000"))</f>
        <v>EQ3999950000</v>
      </c>
      <c r="P50">
        <f t="shared" si="1"/>
        <v>2</v>
      </c>
      <c r="Q50" t="str">
        <f t="shared" si="2"/>
        <v/>
      </c>
    </row>
    <row r="51" spans="1:46" x14ac:dyDescent="0.2">
      <c r="A51" t="s">
        <v>13</v>
      </c>
      <c r="B51" s="3" t="s">
        <v>14</v>
      </c>
      <c r="C51">
        <v>7915</v>
      </c>
      <c r="D51" t="s">
        <v>15</v>
      </c>
      <c r="E51">
        <v>0</v>
      </c>
      <c r="F51">
        <v>39999</v>
      </c>
      <c r="G51">
        <v>90000</v>
      </c>
      <c r="H51">
        <v>19999</v>
      </c>
      <c r="I51" t="s">
        <v>218</v>
      </c>
      <c r="J51">
        <f>MOD(E51+20000,100000)</f>
        <v>20000</v>
      </c>
      <c r="K51">
        <f>MOD(G51+15000,100000)</f>
        <v>5000</v>
      </c>
      <c r="L51" t="str">
        <f>_xlfn.CONCAT(RIGHT(TRIM($D51),2),TEXT(E51,"00000"),TEXT(H51,"00000"))</f>
        <v>CQ0000019999</v>
      </c>
      <c r="M51" t="str">
        <f>_xlfn.CONCAT(RIGHT(TRIM($D51),2),TEXT(F51,"00000"),TEXT(H51,"00000"))</f>
        <v>CQ3999919999</v>
      </c>
      <c r="N51" t="str">
        <f>_xlfn.CONCAT(LEFT(TRIM($D51),2),TEXT(E51,"00000"),TEXT(G51,"00000"))</f>
        <v>CP0000090000</v>
      </c>
      <c r="O51" t="str">
        <f>_xlfn.CONCAT(LEFT(TRIM($D51),2),TEXT(F51,"00000"),TEXT(G51,"00000"))</f>
        <v>CP3999990000</v>
      </c>
      <c r="P51">
        <f t="shared" si="1"/>
        <v>5</v>
      </c>
      <c r="Q51" t="str">
        <f t="shared" si="2"/>
        <v/>
      </c>
      <c r="W51" t="s">
        <v>326</v>
      </c>
      <c r="X51" t="s">
        <v>327</v>
      </c>
      <c r="Y51" t="s">
        <v>328</v>
      </c>
      <c r="Z51" t="s">
        <v>329</v>
      </c>
      <c r="AA51" t="s">
        <v>330</v>
      </c>
      <c r="AB51" t="s">
        <v>331</v>
      </c>
    </row>
    <row r="52" spans="1:46" hidden="1" x14ac:dyDescent="0.2">
      <c r="A52" t="s">
        <v>50</v>
      </c>
      <c r="B52" t="s">
        <v>51</v>
      </c>
      <c r="C52">
        <v>8114</v>
      </c>
      <c r="D52" t="s">
        <v>52</v>
      </c>
      <c r="E52">
        <v>20000</v>
      </c>
      <c r="F52">
        <v>59999</v>
      </c>
      <c r="G52">
        <v>20000</v>
      </c>
      <c r="H52">
        <v>49999</v>
      </c>
      <c r="I52" t="s">
        <v>226</v>
      </c>
      <c r="J52">
        <f>MOD(E52+20000,100000)</f>
        <v>40000</v>
      </c>
      <c r="K52">
        <f>MOD(G52+15000,100000)</f>
        <v>35000</v>
      </c>
      <c r="L52" t="str">
        <f>_xlfn.CONCAT(TRIM($D52),TEXT(E52,"00000"),TEXT(H52,"00000"))</f>
        <v>DQ2000049999</v>
      </c>
      <c r="M52" t="str">
        <f>_xlfn.CONCAT(TRIM($D52),TEXT(F52,"00000"),TEXT(H52,"00000"))</f>
        <v>DQ5999949999</v>
      </c>
      <c r="N52" t="str">
        <f>_xlfn.CONCAT(TRIM($D52),TEXT(E52,"00000"),TEXT(G52,"00000"))</f>
        <v>DQ2000020000</v>
      </c>
      <c r="O52" t="str">
        <f>_xlfn.CONCAT(TRIM($D52),TEXT(F52,"00000"),TEXT(G52,"00000"))</f>
        <v>DQ5999920000</v>
      </c>
      <c r="P52">
        <f t="shared" si="1"/>
        <v>2</v>
      </c>
      <c r="Q52" t="str">
        <f t="shared" si="2"/>
        <v/>
      </c>
    </row>
    <row r="53" spans="1:46" hidden="1" x14ac:dyDescent="0.2">
      <c r="A53" t="s">
        <v>82</v>
      </c>
      <c r="B53" t="s">
        <v>83</v>
      </c>
      <c r="C53">
        <v>8212</v>
      </c>
      <c r="D53" t="s">
        <v>58</v>
      </c>
      <c r="E53">
        <v>60000</v>
      </c>
      <c r="F53">
        <v>99999</v>
      </c>
      <c r="G53">
        <v>30000</v>
      </c>
      <c r="H53">
        <v>59999</v>
      </c>
      <c r="I53" t="s">
        <v>222</v>
      </c>
      <c r="J53">
        <f>MOD(E53+20000,100000)</f>
        <v>80000</v>
      </c>
      <c r="K53">
        <f>MOD(G53+15000,100000)</f>
        <v>45000</v>
      </c>
      <c r="L53" t="str">
        <f>_xlfn.CONCAT(TRIM($D53),TEXT(E53,"00000"),TEXT(H53,"00000"))</f>
        <v>DP6000059999</v>
      </c>
      <c r="M53" t="str">
        <f>_xlfn.CONCAT(TRIM($D53),TEXT(F53,"00000"),TEXT(H53,"00000"))</f>
        <v>DP9999959999</v>
      </c>
      <c r="N53" t="str">
        <f>_xlfn.CONCAT(TRIM($D53),TEXT(E53,"00000"),TEXT(G53,"00000"))</f>
        <v>DP6000030000</v>
      </c>
      <c r="O53" t="str">
        <f>_xlfn.CONCAT(TRIM($D53),TEXT(F53,"00000"),TEXT(G53,"00000"))</f>
        <v>DP9999930000</v>
      </c>
      <c r="P53">
        <f t="shared" si="1"/>
        <v>2</v>
      </c>
      <c r="Q53" t="str">
        <f t="shared" si="2"/>
        <v/>
      </c>
    </row>
    <row r="54" spans="1:46" hidden="1" x14ac:dyDescent="0.2">
      <c r="A54" t="s">
        <v>97</v>
      </c>
      <c r="B54" t="s">
        <v>98</v>
      </c>
      <c r="C54">
        <v>8114</v>
      </c>
      <c r="D54" t="s">
        <v>99</v>
      </c>
      <c r="E54">
        <v>0</v>
      </c>
      <c r="F54">
        <v>39999</v>
      </c>
      <c r="G54">
        <v>90000</v>
      </c>
      <c r="H54">
        <v>19999</v>
      </c>
      <c r="I54" t="s">
        <v>225</v>
      </c>
      <c r="J54">
        <f>MOD(E54+20000,100000)</f>
        <v>20000</v>
      </c>
      <c r="K54">
        <f>MOD(G54+15000,100000)</f>
        <v>5000</v>
      </c>
      <c r="L54" t="str">
        <f>_xlfn.CONCAT(RIGHT(TRIM($D54),2),TEXT(E54,"00000"),TEXT(H54,"00000"))</f>
        <v>EQ0000019999</v>
      </c>
      <c r="M54" t="str">
        <f>_xlfn.CONCAT(RIGHT(TRIM($D54),2),TEXT(F54,"00000"),TEXT(H54,"00000"))</f>
        <v>EQ3999919999</v>
      </c>
      <c r="N54" t="str">
        <f>_xlfn.CONCAT(LEFT(TRIM($D54),2),TEXT(E54,"00000"),TEXT(G54,"00000"))</f>
        <v>EP0000090000</v>
      </c>
      <c r="O54" t="str">
        <f>_xlfn.CONCAT(LEFT(TRIM($D54),2),TEXT(F54,"00000"),TEXT(G54,"00000"))</f>
        <v>EP3999990000</v>
      </c>
      <c r="P54">
        <f t="shared" si="1"/>
        <v>5</v>
      </c>
      <c r="Q54" t="str">
        <f t="shared" si="2"/>
        <v/>
      </c>
    </row>
    <row r="55" spans="1:46" x14ac:dyDescent="0.2">
      <c r="A55" t="s">
        <v>47</v>
      </c>
      <c r="B55" s="3" t="s">
        <v>48</v>
      </c>
      <c r="C55">
        <v>8011</v>
      </c>
      <c r="D55" t="s">
        <v>49</v>
      </c>
      <c r="E55">
        <v>80000</v>
      </c>
      <c r="F55">
        <v>19999</v>
      </c>
      <c r="G55">
        <v>80000</v>
      </c>
      <c r="H55">
        <v>9999</v>
      </c>
      <c r="I55" t="s">
        <v>221</v>
      </c>
      <c r="J55">
        <f>MOD(E55+20000,100000)</f>
        <v>0</v>
      </c>
      <c r="K55">
        <f>MOD(G55+15000,100000)</f>
        <v>95000</v>
      </c>
      <c r="L55" t="s">
        <v>240</v>
      </c>
      <c r="M55" t="s">
        <v>241</v>
      </c>
      <c r="N55" t="s">
        <v>242</v>
      </c>
      <c r="O55" t="s">
        <v>243</v>
      </c>
      <c r="P55">
        <f t="shared" si="1"/>
        <v>11</v>
      </c>
      <c r="Q55" t="str">
        <f t="shared" si="2"/>
        <v>Y</v>
      </c>
      <c r="AI55" t="s">
        <v>278</v>
      </c>
      <c r="AJ55" t="s">
        <v>279</v>
      </c>
      <c r="AK55" t="s">
        <v>280</v>
      </c>
      <c r="AL55" t="s">
        <v>281</v>
      </c>
      <c r="AM55" t="s">
        <v>283</v>
      </c>
      <c r="AN55" t="s">
        <v>284</v>
      </c>
      <c r="AO55" t="s">
        <v>282</v>
      </c>
      <c r="AP55" t="s">
        <v>285</v>
      </c>
      <c r="AQ55" t="s">
        <v>286</v>
      </c>
      <c r="AR55" t="s">
        <v>287</v>
      </c>
      <c r="AS55" t="s">
        <v>288</v>
      </c>
      <c r="AT55" t="s">
        <v>289</v>
      </c>
    </row>
    <row r="56" spans="1:46" hidden="1" x14ac:dyDescent="0.2">
      <c r="A56" t="s">
        <v>120</v>
      </c>
      <c r="B56" s="2" t="s">
        <v>121</v>
      </c>
      <c r="C56">
        <v>8517</v>
      </c>
      <c r="D56" t="s">
        <v>122</v>
      </c>
      <c r="E56">
        <v>40000</v>
      </c>
      <c r="F56">
        <v>79999</v>
      </c>
      <c r="G56">
        <v>70000</v>
      </c>
      <c r="H56">
        <v>99999</v>
      </c>
      <c r="I56" t="s">
        <v>230</v>
      </c>
      <c r="J56">
        <f>MOD(E56+20000,100000)</f>
        <v>60000</v>
      </c>
      <c r="K56">
        <f>MOD(G56+15000,100000)</f>
        <v>85000</v>
      </c>
      <c r="L56" t="str">
        <f>_xlfn.CONCAT(TRIM($D56),TEXT(E56,"00000"),TEXT(H56,"00000"))</f>
        <v>ER4000099999</v>
      </c>
      <c r="M56" t="str">
        <f>_xlfn.CONCAT(TRIM($D56),TEXT(F56,"00000"),TEXT(H56,"00000"))</f>
        <v>ER7999999999</v>
      </c>
      <c r="N56" t="str">
        <f>_xlfn.CONCAT(TRIM($D56),TEXT(E56,"00000"),TEXT(G56,"00000"))</f>
        <v>ER4000070000</v>
      </c>
      <c r="O56" t="str">
        <f>_xlfn.CONCAT(TRIM($D56),TEXT(F56,"00000"),TEXT(G56,"00000"))</f>
        <v>ER7999970000</v>
      </c>
      <c r="P56">
        <f t="shared" si="1"/>
        <v>2</v>
      </c>
      <c r="Q56" t="str">
        <f t="shared" si="2"/>
        <v/>
      </c>
    </row>
    <row r="57" spans="1:46" hidden="1" x14ac:dyDescent="0.2">
      <c r="A57" t="s">
        <v>42</v>
      </c>
      <c r="B57" t="s">
        <v>43</v>
      </c>
      <c r="C57">
        <v>8112</v>
      </c>
      <c r="D57" t="s">
        <v>44</v>
      </c>
      <c r="E57">
        <v>80000</v>
      </c>
      <c r="F57">
        <v>19999</v>
      </c>
      <c r="G57">
        <v>70000</v>
      </c>
      <c r="H57">
        <v>99999</v>
      </c>
      <c r="I57" t="s">
        <v>228</v>
      </c>
      <c r="J57">
        <f>MOD(E57+20000,100000)</f>
        <v>0</v>
      </c>
      <c r="K57">
        <f>MOD(G57+15000,100000)</f>
        <v>85000</v>
      </c>
      <c r="L57" t="str">
        <f>_xlfn.CONCAT(LEFT(TRIM($D57),2),TEXT(E57,"00000"),TEXT(H57,"00000"))</f>
        <v>CN8000099999</v>
      </c>
      <c r="M57" t="str">
        <f>_xlfn.CONCAT(RIGHT(TRIM($D57),2),TEXT(F57,"00000"),TEXT(H57,"00000"))</f>
        <v>DN1999999999</v>
      </c>
      <c r="N57" t="str">
        <f>_xlfn.CONCAT(LEFT(TRIM($D57),2),TEXT(E57,"00000"),TEXT(G57,"00000"))</f>
        <v>CN8000070000</v>
      </c>
      <c r="O57" t="str">
        <f>_xlfn.CONCAT(RIGHT(TRIM($D57),2),TEXT(F57,"00000"),TEXT(G57,"00000"))</f>
        <v>DN1999970000</v>
      </c>
      <c r="P57">
        <f t="shared" si="1"/>
        <v>5</v>
      </c>
      <c r="Q57" t="str">
        <f t="shared" si="2"/>
        <v>Y</v>
      </c>
    </row>
    <row r="58" spans="1:46" hidden="1" x14ac:dyDescent="0.2">
      <c r="A58" t="s">
        <v>135</v>
      </c>
      <c r="B58" t="s">
        <v>136</v>
      </c>
      <c r="C58">
        <v>8411</v>
      </c>
      <c r="D58" t="s">
        <v>109</v>
      </c>
      <c r="E58">
        <v>40000</v>
      </c>
      <c r="F58">
        <v>79999</v>
      </c>
      <c r="G58">
        <v>70000</v>
      </c>
      <c r="H58">
        <v>99999</v>
      </c>
      <c r="I58" t="s">
        <v>229</v>
      </c>
      <c r="J58">
        <f>MOD(E58+20000,100000)</f>
        <v>60000</v>
      </c>
      <c r="K58">
        <f>MOD(G58+15000,100000)</f>
        <v>85000</v>
      </c>
      <c r="L58" t="str">
        <f>_xlfn.CONCAT(TRIM($D58),TEXT(E58,"00000"),TEXT(H58,"00000"))</f>
        <v>EN4000099999</v>
      </c>
      <c r="M58" t="str">
        <f>_xlfn.CONCAT(TRIM($D58),TEXT(F58,"00000"),TEXT(H58,"00000"))</f>
        <v>EN7999999999</v>
      </c>
      <c r="N58" t="str">
        <f>_xlfn.CONCAT(TRIM($D58),TEXT(E58,"00000"),TEXT(G58,"00000"))</f>
        <v>EN4000070000</v>
      </c>
      <c r="O58" t="str">
        <f>_xlfn.CONCAT(TRIM($D58),TEXT(F58,"00000"),TEXT(G58,"00000"))</f>
        <v>EN7999970000</v>
      </c>
      <c r="P58">
        <f t="shared" si="1"/>
        <v>2</v>
      </c>
      <c r="Q58" t="str">
        <f t="shared" si="2"/>
        <v/>
      </c>
    </row>
    <row r="59" spans="1:46" hidden="1" x14ac:dyDescent="0.2">
      <c r="A59" t="s">
        <v>16</v>
      </c>
      <c r="B59" t="s">
        <v>17</v>
      </c>
      <c r="C59">
        <v>8113</v>
      </c>
      <c r="D59" t="s">
        <v>10</v>
      </c>
      <c r="E59">
        <v>40000</v>
      </c>
      <c r="F59">
        <v>79999</v>
      </c>
      <c r="G59">
        <v>20000</v>
      </c>
      <c r="H59">
        <v>49999</v>
      </c>
      <c r="I59" t="s">
        <v>218</v>
      </c>
      <c r="J59">
        <f>MOD(E59+20000,100000)</f>
        <v>60000</v>
      </c>
      <c r="K59">
        <f>MOD(G59+15000,100000)</f>
        <v>35000</v>
      </c>
      <c r="L59" t="str">
        <f>_xlfn.CONCAT(TRIM($D59),TEXT(E59,"00000"),TEXT(H59,"00000"))</f>
        <v>CQ4000049999</v>
      </c>
      <c r="M59" t="str">
        <f>_xlfn.CONCAT(TRIM($D59),TEXT(F59,"00000"),TEXT(H59,"00000"))</f>
        <v>CQ7999949999</v>
      </c>
      <c r="N59" t="str">
        <f>_xlfn.CONCAT(TRIM($D59),TEXT(E59,"00000"),TEXT(G59,"00000"))</f>
        <v>CQ4000020000</v>
      </c>
      <c r="O59" t="str">
        <f>_xlfn.CONCAT(TRIM($D59),TEXT(F59,"00000"),TEXT(G59,"00000"))</f>
        <v>CQ7999920000</v>
      </c>
      <c r="P59">
        <f t="shared" si="1"/>
        <v>2</v>
      </c>
      <c r="Q59" t="str">
        <f t="shared" si="2"/>
        <v/>
      </c>
    </row>
    <row r="60" spans="1:46" hidden="1" x14ac:dyDescent="0.2">
      <c r="A60" t="s">
        <v>11</v>
      </c>
      <c r="B60" t="s">
        <v>12</v>
      </c>
      <c r="C60">
        <v>8514</v>
      </c>
      <c r="D60" t="s">
        <v>10</v>
      </c>
      <c r="E60">
        <v>0</v>
      </c>
      <c r="F60">
        <v>39999</v>
      </c>
      <c r="G60">
        <v>20000</v>
      </c>
      <c r="H60">
        <v>49999</v>
      </c>
      <c r="I60" t="s">
        <v>218</v>
      </c>
      <c r="J60">
        <f>MOD(E60+20000,100000)</f>
        <v>20000</v>
      </c>
      <c r="K60">
        <f>MOD(G60+15000,100000)</f>
        <v>35000</v>
      </c>
      <c r="L60" t="str">
        <f>_xlfn.CONCAT(TRIM($D60),TEXT(E60,"00000"),TEXT(H60,"00000"))</f>
        <v>CQ0000049999</v>
      </c>
      <c r="M60" t="str">
        <f>_xlfn.CONCAT(TRIM($D60),TEXT(F60,"00000"),TEXT(H60,"00000"))</f>
        <v>CQ3999949999</v>
      </c>
      <c r="N60" t="str">
        <f>_xlfn.CONCAT(TRIM($D60),TEXT(E60,"00000"),TEXT(G60,"00000"))</f>
        <v>CQ0000020000</v>
      </c>
      <c r="O60" t="str">
        <f>_xlfn.CONCAT(TRIM($D60),TEXT(F60,"00000"),TEXT(G60,"00000"))</f>
        <v>CQ3999920000</v>
      </c>
      <c r="P60">
        <f t="shared" si="1"/>
        <v>2</v>
      </c>
      <c r="Q60" t="str">
        <f t="shared" si="2"/>
        <v/>
      </c>
    </row>
    <row r="61" spans="1:46" hidden="1" x14ac:dyDescent="0.2">
      <c r="A61" t="s">
        <v>94</v>
      </c>
      <c r="B61" t="s">
        <v>95</v>
      </c>
      <c r="C61">
        <v>8214</v>
      </c>
      <c r="D61" t="s">
        <v>96</v>
      </c>
      <c r="E61">
        <v>0</v>
      </c>
      <c r="F61">
        <v>39999</v>
      </c>
      <c r="G61">
        <v>20000</v>
      </c>
      <c r="H61">
        <v>49999</v>
      </c>
      <c r="I61" t="s">
        <v>225</v>
      </c>
      <c r="J61">
        <f>MOD(E61+20000,100000)</f>
        <v>20000</v>
      </c>
      <c r="K61">
        <f>MOD(G61+15000,100000)</f>
        <v>35000</v>
      </c>
      <c r="L61" t="str">
        <f>_xlfn.CONCAT(TRIM($D61),TEXT(E61,"00000"),TEXT(H61,"00000"))</f>
        <v>EQ0000049999</v>
      </c>
      <c r="M61" t="str">
        <f>_xlfn.CONCAT(TRIM($D61),TEXT(F61,"00000"),TEXT(H61,"00000"))</f>
        <v>EQ3999949999</v>
      </c>
      <c r="N61" t="str">
        <f>_xlfn.CONCAT(TRIM($D61),TEXT(E61,"00000"),TEXT(G61,"00000"))</f>
        <v>EQ0000020000</v>
      </c>
      <c r="O61" t="str">
        <f>_xlfn.CONCAT(TRIM($D61),TEXT(F61,"00000"),TEXT(G61,"00000"))</f>
        <v>EQ3999920000</v>
      </c>
      <c r="P61">
        <f t="shared" si="1"/>
        <v>2</v>
      </c>
      <c r="Q61" t="str">
        <f t="shared" si="2"/>
        <v/>
      </c>
    </row>
    <row r="62" spans="1:46" hidden="1" x14ac:dyDescent="0.2">
      <c r="A62" t="s">
        <v>88</v>
      </c>
      <c r="B62" t="s">
        <v>89</v>
      </c>
      <c r="C62">
        <v>8112</v>
      </c>
      <c r="D62" t="s">
        <v>65</v>
      </c>
      <c r="E62">
        <v>60000</v>
      </c>
      <c r="F62">
        <v>99999</v>
      </c>
      <c r="G62">
        <v>40000</v>
      </c>
      <c r="H62">
        <v>69999</v>
      </c>
      <c r="I62" t="s">
        <v>228</v>
      </c>
      <c r="J62">
        <f>MOD(E62+20000,100000)</f>
        <v>80000</v>
      </c>
      <c r="K62">
        <f>MOD(G62+15000,100000)</f>
        <v>55000</v>
      </c>
      <c r="L62" t="str">
        <f>_xlfn.CONCAT(TRIM($D62),TEXT(E62,"00000"),TEXT(H62,"00000"))</f>
        <v>DN6000069999</v>
      </c>
      <c r="M62" t="str">
        <f>_xlfn.CONCAT(TRIM($D62),TEXT(F62,"00000"),TEXT(H62,"00000"))</f>
        <v>DN9999969999</v>
      </c>
      <c r="N62" t="str">
        <f>_xlfn.CONCAT(TRIM($D62),TEXT(E62,"00000"),TEXT(G62,"00000"))</f>
        <v>DN6000040000</v>
      </c>
      <c r="O62" t="str">
        <f>_xlfn.CONCAT(TRIM($D62),TEXT(F62,"00000"),TEXT(G62,"00000"))</f>
        <v>DN9999940000</v>
      </c>
      <c r="P62">
        <f t="shared" si="1"/>
        <v>2</v>
      </c>
      <c r="Q62" t="str">
        <f t="shared" si="2"/>
        <v/>
      </c>
    </row>
    <row r="63" spans="1:46" hidden="1" x14ac:dyDescent="0.2">
      <c r="A63" t="s">
        <v>114</v>
      </c>
      <c r="B63" t="s">
        <v>115</v>
      </c>
      <c r="C63">
        <v>8211</v>
      </c>
      <c r="D63" t="s">
        <v>251</v>
      </c>
      <c r="E63">
        <v>0</v>
      </c>
      <c r="F63">
        <v>39999</v>
      </c>
      <c r="G63">
        <v>80000</v>
      </c>
      <c r="H63">
        <v>9999</v>
      </c>
      <c r="I63" t="s">
        <v>220</v>
      </c>
      <c r="J63">
        <f>MOD(E63+20000,100000)</f>
        <v>20000</v>
      </c>
      <c r="K63">
        <f>MOD(G63+15000,100000)</f>
        <v>95000</v>
      </c>
      <c r="L63" t="str">
        <f>_xlfn.CONCAT(RIGHT(TRIM($D63),2),TEXT(E63,"00000"),TEXT(H63,"00000"))</f>
        <v>EN0000009999</v>
      </c>
      <c r="M63" t="str">
        <f>_xlfn.CONCAT(RIGHT(TRIM($D63),2),TEXT(F63,"00000"),TEXT(H63,"00000"))</f>
        <v>EN3999909999</v>
      </c>
      <c r="N63" t="str">
        <f>_xlfn.CONCAT(LEFT(TRIM($D63),2),TEXT(E63,"00000"),TEXT(G63,"00000"))</f>
        <v>EM0000080000</v>
      </c>
      <c r="O63" t="str">
        <f>_xlfn.CONCAT(LEFT(TRIM($D63),2),TEXT(F63,"00000"),TEXT(G63,"00000"))</f>
        <v>EM3999980000</v>
      </c>
      <c r="P63">
        <f t="shared" si="1"/>
        <v>5</v>
      </c>
      <c r="Q63" t="str">
        <f t="shared" si="2"/>
        <v/>
      </c>
    </row>
    <row r="64" spans="1:46" x14ac:dyDescent="0.2">
      <c r="A64" t="s">
        <v>73</v>
      </c>
      <c r="B64" s="3" t="s">
        <v>74</v>
      </c>
      <c r="C64">
        <v>7912</v>
      </c>
      <c r="D64" t="s">
        <v>75</v>
      </c>
      <c r="E64">
        <v>20000</v>
      </c>
      <c r="F64">
        <v>59999</v>
      </c>
      <c r="G64">
        <v>50000</v>
      </c>
      <c r="H64">
        <v>79999</v>
      </c>
      <c r="I64" t="s">
        <v>221</v>
      </c>
      <c r="J64">
        <f>MOD(E64+20000,100000)</f>
        <v>40000</v>
      </c>
      <c r="K64">
        <f>MOD(G64+15000,100000)</f>
        <v>65000</v>
      </c>
      <c r="L64" t="str">
        <f>_xlfn.CONCAT(TRIM($D64),TEXT(E64,"00000"),TEXT(H64,"00000"))</f>
        <v>DM2000079999</v>
      </c>
      <c r="M64" t="str">
        <f>_xlfn.CONCAT(TRIM($D64),TEXT(F64,"00000"),TEXT(H64,"00000"))</f>
        <v>DM5999979999</v>
      </c>
      <c r="N64" t="str">
        <f>_xlfn.CONCAT(TRIM($D64),TEXT(E64,"00000"),TEXT(G64,"00000"))</f>
        <v>DM2000050000</v>
      </c>
      <c r="O64" t="str">
        <f>_xlfn.CONCAT(TRIM($D64),TEXT(F64,"00000"),TEXT(G64,"00000"))</f>
        <v>DM5999950000</v>
      </c>
      <c r="P64">
        <f t="shared" si="1"/>
        <v>2</v>
      </c>
      <c r="Q64" t="str">
        <f t="shared" si="2"/>
        <v/>
      </c>
      <c r="S64" t="s">
        <v>272</v>
      </c>
      <c r="T64" t="s">
        <v>273</v>
      </c>
      <c r="U64" t="s">
        <v>275</v>
      </c>
      <c r="V64" t="s">
        <v>274</v>
      </c>
      <c r="W64" t="s">
        <v>320</v>
      </c>
      <c r="X64" t="s">
        <v>321</v>
      </c>
      <c r="Y64" t="s">
        <v>325</v>
      </c>
      <c r="Z64" t="s">
        <v>324</v>
      </c>
      <c r="AA64" t="s">
        <v>323</v>
      </c>
      <c r="AB64" t="s">
        <v>322</v>
      </c>
    </row>
    <row r="65" spans="1:30" hidden="1" x14ac:dyDescent="0.2">
      <c r="A65" t="s">
        <v>59</v>
      </c>
      <c r="B65" t="s">
        <v>60</v>
      </c>
      <c r="C65">
        <v>8212</v>
      </c>
      <c r="D65" t="s">
        <v>58</v>
      </c>
      <c r="E65">
        <v>20000</v>
      </c>
      <c r="F65">
        <v>59999</v>
      </c>
      <c r="G65">
        <v>30000</v>
      </c>
      <c r="H65">
        <v>59999</v>
      </c>
      <c r="I65" t="s">
        <v>222</v>
      </c>
      <c r="J65">
        <f>MOD(E65+20000,100000)</f>
        <v>40000</v>
      </c>
      <c r="K65">
        <f>MOD(G65+15000,100000)</f>
        <v>45000</v>
      </c>
      <c r="L65" t="str">
        <f>_xlfn.CONCAT(TRIM($D65),TEXT(E65,"00000"),TEXT(H65,"00000"))</f>
        <v>DP2000059999</v>
      </c>
      <c r="M65" t="str">
        <f>_xlfn.CONCAT(TRIM($D65),TEXT(F65,"00000"),TEXT(H65,"00000"))</f>
        <v>DP5999959999</v>
      </c>
      <c r="N65" t="str">
        <f>_xlfn.CONCAT(TRIM($D65),TEXT(E65,"00000"),TEXT(G65,"00000"))</f>
        <v>DP2000030000</v>
      </c>
      <c r="O65" t="str">
        <f>_xlfn.CONCAT(TRIM($D65),TEXT(F65,"00000"),TEXT(G65,"00000"))</f>
        <v>DP5999930000</v>
      </c>
      <c r="P65">
        <f t="shared" si="1"/>
        <v>2</v>
      </c>
      <c r="Q65" t="str">
        <f t="shared" si="2"/>
        <v/>
      </c>
    </row>
    <row r="66" spans="1:30" hidden="1" x14ac:dyDescent="0.2">
      <c r="A66" t="s">
        <v>133</v>
      </c>
      <c r="B66" t="s">
        <v>134</v>
      </c>
      <c r="C66">
        <v>7912</v>
      </c>
      <c r="D66" t="s">
        <v>102</v>
      </c>
      <c r="E66">
        <v>40000</v>
      </c>
      <c r="F66">
        <v>79999</v>
      </c>
      <c r="G66">
        <v>0</v>
      </c>
      <c r="H66">
        <v>29999</v>
      </c>
      <c r="I66" t="s">
        <v>223</v>
      </c>
      <c r="J66">
        <f>MOD(E66+20000,100000)</f>
        <v>60000</v>
      </c>
      <c r="K66">
        <f>MOD(G66+15000,100000)</f>
        <v>15000</v>
      </c>
      <c r="L66" t="str">
        <f>_xlfn.CONCAT(TRIM($D66),TEXT(E66,"00000"),TEXT(H66,"00000"))</f>
        <v>EP4000029999</v>
      </c>
      <c r="M66" t="str">
        <f>_xlfn.CONCAT(TRIM($D66),TEXT(F66,"00000"),TEXT(H66,"00000"))</f>
        <v>EP7999929999</v>
      </c>
      <c r="N66" t="str">
        <f>_xlfn.CONCAT(TRIM($D66),TEXT(E66,"00000"),TEXT(G66,"00000"))</f>
        <v>EP4000000000</v>
      </c>
      <c r="O66" t="str">
        <f>_xlfn.CONCAT(TRIM($D66),TEXT(F66,"00000"),TEXT(G66,"00000"))</f>
        <v>EP7999900000</v>
      </c>
      <c r="P66">
        <f t="shared" ref="P66:P76" si="3">LEN(TRIM(D66))</f>
        <v>2</v>
      </c>
      <c r="Q66" t="str">
        <f t="shared" si="2"/>
        <v/>
      </c>
    </row>
    <row r="67" spans="1:30" x14ac:dyDescent="0.2">
      <c r="A67" t="s">
        <v>27</v>
      </c>
      <c r="B67" s="3" t="s">
        <v>28</v>
      </c>
      <c r="C67">
        <v>7916</v>
      </c>
      <c r="D67" t="s">
        <v>29</v>
      </c>
      <c r="E67">
        <v>80000</v>
      </c>
      <c r="F67">
        <v>19999</v>
      </c>
      <c r="G67">
        <v>50000</v>
      </c>
      <c r="H67">
        <v>79999</v>
      </c>
      <c r="I67" t="s">
        <v>226</v>
      </c>
      <c r="J67">
        <f>MOD(E67+20000,100000)</f>
        <v>0</v>
      </c>
      <c r="K67">
        <f>MOD(G67+15000,100000)</f>
        <v>65000</v>
      </c>
      <c r="L67" t="str">
        <f>_xlfn.CONCAT(LEFT(TRIM($D67),2),TEXT(E67,"00000"),TEXT(H67,"00000"))</f>
        <v>CQ8000079999</v>
      </c>
      <c r="M67" t="str">
        <f>_xlfn.CONCAT(RIGHT(TRIM($D67),2),TEXT(F67,"00000"),TEXT(H67,"00000"))</f>
        <v>DQ1999979999</v>
      </c>
      <c r="N67" t="str">
        <f>_xlfn.CONCAT(LEFT(TRIM($D67),2),TEXT(E67,"00000"),TEXT(G67,"00000"))</f>
        <v>CQ8000050000</v>
      </c>
      <c r="O67" t="str">
        <f>_xlfn.CONCAT(RIGHT(TRIM($D67),2),TEXT(F67,"00000"),TEXT(G67,"00000"))</f>
        <v>DQ1999950000</v>
      </c>
      <c r="P67">
        <f t="shared" si="3"/>
        <v>5</v>
      </c>
      <c r="Q67" t="str">
        <f t="shared" si="2"/>
        <v>Y</v>
      </c>
    </row>
    <row r="68" spans="1:30" x14ac:dyDescent="0.2">
      <c r="A68" t="s">
        <v>139</v>
      </c>
      <c r="B68" s="3" t="s">
        <v>140</v>
      </c>
      <c r="C68">
        <v>8311</v>
      </c>
      <c r="D68" t="s">
        <v>109</v>
      </c>
      <c r="E68">
        <v>40000</v>
      </c>
      <c r="F68">
        <v>79999</v>
      </c>
      <c r="G68">
        <v>10000</v>
      </c>
      <c r="H68">
        <v>39999</v>
      </c>
      <c r="I68" t="s">
        <v>229</v>
      </c>
      <c r="J68">
        <f>MOD(E68+20000,100000)</f>
        <v>60000</v>
      </c>
      <c r="K68">
        <f>MOD(G68+15000,100000)</f>
        <v>25000</v>
      </c>
      <c r="L68" t="str">
        <f>_xlfn.CONCAT(TRIM($D68),TEXT(E68,"00000"),TEXT(H68,"00000"))</f>
        <v>EN4000039999</v>
      </c>
      <c r="M68" t="str">
        <f>_xlfn.CONCAT(TRIM($D68),TEXT(F68,"00000"),TEXT(H68,"00000"))</f>
        <v>EN7999939999</v>
      </c>
      <c r="N68" t="str">
        <f>_xlfn.CONCAT(TRIM($D68),TEXT(E68,"00000"),TEXT(G68,"00000"))</f>
        <v>EN4000010000</v>
      </c>
      <c r="O68" t="str">
        <f>_xlfn.CONCAT(TRIM($D68),TEXT(F68,"00000"),TEXT(G68,"00000"))</f>
        <v>EN7999910000</v>
      </c>
      <c r="P68">
        <f t="shared" si="3"/>
        <v>2</v>
      </c>
      <c r="Q68" t="str">
        <f t="shared" si="2"/>
        <v/>
      </c>
      <c r="S68" t="s">
        <v>292</v>
      </c>
      <c r="T68" t="s">
        <v>293</v>
      </c>
      <c r="U68" t="s">
        <v>294</v>
      </c>
      <c r="V68" t="s">
        <v>295</v>
      </c>
      <c r="W68" t="s">
        <v>312</v>
      </c>
      <c r="X68" t="s">
        <v>313</v>
      </c>
      <c r="Y68" t="s">
        <v>314</v>
      </c>
      <c r="Z68" t="s">
        <v>315</v>
      </c>
      <c r="AA68" t="s">
        <v>316</v>
      </c>
      <c r="AB68" t="s">
        <v>317</v>
      </c>
      <c r="AC68" t="s">
        <v>318</v>
      </c>
      <c r="AD68" t="s">
        <v>319</v>
      </c>
    </row>
    <row r="69" spans="1:30" x14ac:dyDescent="0.2">
      <c r="A69" t="s">
        <v>194</v>
      </c>
      <c r="B69" s="3" t="s">
        <v>195</v>
      </c>
      <c r="D69" t="s">
        <v>218</v>
      </c>
      <c r="E69">
        <v>40000</v>
      </c>
      <c r="F69">
        <v>79999</v>
      </c>
      <c r="G69">
        <v>50000</v>
      </c>
      <c r="H69">
        <v>79999</v>
      </c>
      <c r="I69" t="s">
        <v>218</v>
      </c>
      <c r="J69">
        <f>MOD(E69+20000,100000)</f>
        <v>60000</v>
      </c>
      <c r="K69">
        <f>MOD(G69+15000,100000)</f>
        <v>65000</v>
      </c>
      <c r="L69" t="str">
        <f>_xlfn.CONCAT(TRIM($D69),TEXT(E69,"00000"),TEXT(H69,"00000"))</f>
        <v>CQ4000079999</v>
      </c>
      <c r="M69" t="str">
        <f>_xlfn.CONCAT(TRIM($D69),TEXT(F69,"00000"),TEXT(H69,"00000"))</f>
        <v>CQ7999979999</v>
      </c>
      <c r="N69" t="str">
        <f>_xlfn.CONCAT(TRIM($D69),TEXT(E69,"00000"),TEXT(G69,"00000"))</f>
        <v>CQ4000050000</v>
      </c>
      <c r="O69" t="str">
        <f>_xlfn.CONCAT(TRIM($D69),TEXT(F69,"00000"),TEXT(G69,"00000"))</f>
        <v>CQ7999950000</v>
      </c>
      <c r="P69">
        <f t="shared" si="3"/>
        <v>2</v>
      </c>
      <c r="Q69" t="str">
        <f t="shared" si="2"/>
        <v/>
      </c>
      <c r="S69" t="s">
        <v>269</v>
      </c>
      <c r="T69" t="s">
        <v>290</v>
      </c>
      <c r="U69" t="s">
        <v>291</v>
      </c>
      <c r="V69" t="s">
        <v>271</v>
      </c>
      <c r="W69" t="s">
        <v>308</v>
      </c>
      <c r="X69" t="s">
        <v>309</v>
      </c>
      <c r="Y69" t="s">
        <v>310</v>
      </c>
      <c r="Z69" t="s">
        <v>311</v>
      </c>
    </row>
    <row r="70" spans="1:30" hidden="1" x14ac:dyDescent="0.2">
      <c r="A70" t="s">
        <v>208</v>
      </c>
      <c r="B70" t="s">
        <v>209</v>
      </c>
      <c r="D70" t="s">
        <v>215</v>
      </c>
      <c r="E70">
        <v>0</v>
      </c>
      <c r="F70">
        <v>39999</v>
      </c>
      <c r="G70">
        <v>10000</v>
      </c>
      <c r="H70">
        <v>39999</v>
      </c>
      <c r="I70" t="s">
        <v>215</v>
      </c>
      <c r="J70">
        <f>MOD(E70+20000,100000)</f>
        <v>20000</v>
      </c>
      <c r="K70">
        <f>MOD(G70+15000,100000)</f>
        <v>25000</v>
      </c>
      <c r="L70" t="str">
        <f>_xlfn.CONCAT(TRIM($D70),TEXT(E70,"00000"),TEXT(H70,"00000"))</f>
        <v>CR0000039999</v>
      </c>
      <c r="M70" t="str">
        <f>_xlfn.CONCAT(TRIM($D70),TEXT(F70,"00000"),TEXT(H70,"00000"))</f>
        <v>CR3999939999</v>
      </c>
      <c r="N70" t="str">
        <f>_xlfn.CONCAT(TRIM($D70),TEXT(E70,"00000"),TEXT(G70,"00000"))</f>
        <v>CR0000010000</v>
      </c>
      <c r="O70" t="str">
        <f>_xlfn.CONCAT(TRIM($D70),TEXT(F70,"00000"),TEXT(G70,"00000"))</f>
        <v>CR3999910000</v>
      </c>
      <c r="P70">
        <f t="shared" si="3"/>
        <v>2</v>
      </c>
      <c r="Q70" t="str">
        <f t="shared" si="2"/>
        <v/>
      </c>
    </row>
    <row r="71" spans="1:30" hidden="1" x14ac:dyDescent="0.2">
      <c r="A71" t="s">
        <v>105</v>
      </c>
      <c r="B71" t="s">
        <v>106</v>
      </c>
      <c r="C71">
        <v>8212</v>
      </c>
      <c r="D71" t="s">
        <v>102</v>
      </c>
      <c r="E71">
        <v>0</v>
      </c>
      <c r="F71">
        <v>39999</v>
      </c>
      <c r="G71">
        <v>0</v>
      </c>
      <c r="H71">
        <v>29999</v>
      </c>
      <c r="I71" t="s">
        <v>223</v>
      </c>
      <c r="J71">
        <f>MOD(E71+20000,100000)</f>
        <v>20000</v>
      </c>
      <c r="K71">
        <f>MOD(G71+15000,100000)</f>
        <v>15000</v>
      </c>
      <c r="L71" t="str">
        <f>_xlfn.CONCAT(TRIM($D71),TEXT(E71,"00000"),TEXT(H71,"00000"))</f>
        <v>EP0000029999</v>
      </c>
      <c r="M71" t="str">
        <f>_xlfn.CONCAT(TRIM($D71),TEXT(F71,"00000"),TEXT(H71,"00000"))</f>
        <v>EP3999929999</v>
      </c>
      <c r="N71" t="str">
        <f>_xlfn.CONCAT(TRIM($D71),TEXT(E71,"00000"),TEXT(G71,"00000"))</f>
        <v>EP0000000000</v>
      </c>
      <c r="O71" t="str">
        <f>_xlfn.CONCAT(TRIM($D71),TEXT(F71,"00000"),TEXT(G71,"00000"))</f>
        <v>EP3999900000</v>
      </c>
      <c r="P71">
        <f t="shared" si="3"/>
        <v>2</v>
      </c>
      <c r="Q71" t="str">
        <f t="shared" si="2"/>
        <v/>
      </c>
    </row>
    <row r="72" spans="1:30" hidden="1" x14ac:dyDescent="0.2">
      <c r="A72" t="s">
        <v>23</v>
      </c>
      <c r="B72" t="s">
        <v>24</v>
      </c>
      <c r="C72">
        <v>7912</v>
      </c>
      <c r="D72" t="s">
        <v>22</v>
      </c>
      <c r="E72">
        <v>40000</v>
      </c>
      <c r="F72">
        <v>79999</v>
      </c>
      <c r="G72">
        <v>30000</v>
      </c>
      <c r="H72">
        <v>59999</v>
      </c>
      <c r="I72" t="s">
        <v>224</v>
      </c>
      <c r="J72">
        <f>MOD(E72+20000,100000)</f>
        <v>60000</v>
      </c>
      <c r="K72">
        <f>MOD(G72+15000,100000)</f>
        <v>45000</v>
      </c>
      <c r="L72" t="str">
        <f>_xlfn.CONCAT(TRIM($D72),TEXT(E72,"00000"),TEXT(H72,"00000"))</f>
        <v>CP4000059999</v>
      </c>
      <c r="M72" t="str">
        <f>_xlfn.CONCAT(TRIM($D72),TEXT(F72,"00000"),TEXT(H72,"00000"))</f>
        <v>CP7999959999</v>
      </c>
      <c r="N72" t="str">
        <f>_xlfn.CONCAT(TRIM($D72),TEXT(E72,"00000"),TEXT(G72,"00000"))</f>
        <v>CP4000030000</v>
      </c>
      <c r="O72" t="str">
        <f>_xlfn.CONCAT(TRIM($D72),TEXT(F72,"00000"),TEXT(G72,"00000"))</f>
        <v>CP7999930000</v>
      </c>
      <c r="P72">
        <f t="shared" si="3"/>
        <v>2</v>
      </c>
      <c r="Q72" t="str">
        <f t="shared" si="2"/>
        <v/>
      </c>
    </row>
    <row r="73" spans="1:30" hidden="1" x14ac:dyDescent="0.2">
      <c r="A73" t="s">
        <v>84</v>
      </c>
      <c r="B73" t="s">
        <v>85</v>
      </c>
      <c r="C73">
        <v>8212</v>
      </c>
      <c r="D73" t="s">
        <v>58</v>
      </c>
      <c r="E73">
        <v>60000</v>
      </c>
      <c r="F73">
        <v>99999</v>
      </c>
      <c r="G73">
        <v>0</v>
      </c>
      <c r="H73">
        <v>29999</v>
      </c>
      <c r="I73" t="s">
        <v>222</v>
      </c>
      <c r="J73">
        <f>MOD(E73+20000,100000)</f>
        <v>80000</v>
      </c>
      <c r="K73">
        <f>MOD(G73+15000,100000)</f>
        <v>15000</v>
      </c>
      <c r="L73" t="str">
        <f>_xlfn.CONCAT(TRIM($D73),TEXT(E73,"00000"),TEXT(H73,"00000"))</f>
        <v>DP6000029999</v>
      </c>
      <c r="M73" t="str">
        <f>_xlfn.CONCAT(TRIM($D73),TEXT(F73,"00000"),TEXT(H73,"00000"))</f>
        <v>DP9999929999</v>
      </c>
      <c r="N73" t="str">
        <f>_xlfn.CONCAT(TRIM($D73),TEXT(E73,"00000"),TEXT(G73,"00000"))</f>
        <v>DP6000000000</v>
      </c>
      <c r="O73" t="str">
        <f>_xlfn.CONCAT(TRIM($D73),TEXT(F73,"00000"),TEXT(G73,"00000"))</f>
        <v>DP9999900000</v>
      </c>
      <c r="P73">
        <f t="shared" si="3"/>
        <v>2</v>
      </c>
      <c r="Q73" t="str">
        <f t="shared" si="2"/>
        <v/>
      </c>
    </row>
    <row r="74" spans="1:30" hidden="1" x14ac:dyDescent="0.2">
      <c r="A74" t="s">
        <v>110</v>
      </c>
      <c r="B74" t="s">
        <v>111</v>
      </c>
      <c r="C74">
        <v>8312</v>
      </c>
      <c r="D74" t="s">
        <v>109</v>
      </c>
      <c r="E74">
        <v>0</v>
      </c>
      <c r="F74">
        <v>39999</v>
      </c>
      <c r="G74">
        <v>40000</v>
      </c>
      <c r="H74">
        <v>69999</v>
      </c>
      <c r="I74" t="s">
        <v>229</v>
      </c>
      <c r="J74">
        <f>MOD(E74+20000,100000)</f>
        <v>20000</v>
      </c>
      <c r="K74">
        <f>MOD(G74+15000,100000)</f>
        <v>55000</v>
      </c>
      <c r="L74" t="str">
        <f>_xlfn.CONCAT(TRIM($D74),TEXT(E74,"00000"),TEXT(H74,"00000"))</f>
        <v>EN0000069999</v>
      </c>
      <c r="M74" t="str">
        <f>_xlfn.CONCAT(TRIM($D74),TEXT(F74,"00000"),TEXT(H74,"00000"))</f>
        <v>EN3999969999</v>
      </c>
      <c r="N74" t="str">
        <f>_xlfn.CONCAT(TRIM($D74),TEXT(E74,"00000"),TEXT(G74,"00000"))</f>
        <v>EN0000040000</v>
      </c>
      <c r="O74" t="str">
        <f>_xlfn.CONCAT(TRIM($D74),TEXT(F74,"00000"),TEXT(G74,"00000"))</f>
        <v>EN3999940000</v>
      </c>
      <c r="P74">
        <f t="shared" si="3"/>
        <v>2</v>
      </c>
    </row>
    <row r="75" spans="1:30" hidden="1" x14ac:dyDescent="0.2">
      <c r="A75" t="s">
        <v>68</v>
      </c>
      <c r="B75" t="s">
        <v>69</v>
      </c>
      <c r="C75">
        <v>8210</v>
      </c>
      <c r="D75" t="s">
        <v>65</v>
      </c>
      <c r="E75">
        <v>20000</v>
      </c>
      <c r="F75">
        <v>59999</v>
      </c>
      <c r="G75">
        <v>10000</v>
      </c>
      <c r="H75">
        <v>39999</v>
      </c>
      <c r="I75" t="s">
        <v>228</v>
      </c>
      <c r="J75">
        <f>MOD(E75+20000,100000)</f>
        <v>40000</v>
      </c>
      <c r="K75">
        <f>MOD(G75+15000,100000)</f>
        <v>25000</v>
      </c>
      <c r="L75" t="str">
        <f>_xlfn.CONCAT(TRIM($D75),TEXT(E75,"00000"),TEXT(H75,"00000"))</f>
        <v>DN2000039999</v>
      </c>
      <c r="M75" t="str">
        <f>_xlfn.CONCAT(TRIM($D75),TEXT(F75,"00000"),TEXT(H75,"00000"))</f>
        <v>DN5999939999</v>
      </c>
      <c r="N75" t="str">
        <f>_xlfn.CONCAT(TRIM($D75),TEXT(E75,"00000"),TEXT(G75,"00000"))</f>
        <v>DN2000010000</v>
      </c>
      <c r="O75" t="str">
        <f>_xlfn.CONCAT(TRIM($D75),TEXT(F75,"00000"),TEXT(G75,"00000"))</f>
        <v>DN5999910000</v>
      </c>
      <c r="P75">
        <f t="shared" si="3"/>
        <v>2</v>
      </c>
    </row>
    <row r="76" spans="1:30" hidden="1" x14ac:dyDescent="0.2">
      <c r="A76" t="s">
        <v>18</v>
      </c>
      <c r="B76" t="s">
        <v>19</v>
      </c>
      <c r="C76">
        <v>7915</v>
      </c>
      <c r="D76" t="s">
        <v>15</v>
      </c>
      <c r="E76">
        <v>40000</v>
      </c>
      <c r="F76">
        <v>79999</v>
      </c>
      <c r="G76">
        <v>90000</v>
      </c>
      <c r="H76">
        <v>19999</v>
      </c>
      <c r="I76" t="s">
        <v>218</v>
      </c>
      <c r="J76">
        <f>MOD(E76+20000,100000)</f>
        <v>60000</v>
      </c>
      <c r="K76">
        <f>MOD(G76+15000,100000)</f>
        <v>5000</v>
      </c>
      <c r="L76" t="str">
        <f>_xlfn.CONCAT(RIGHT(TRIM($D76),2),TEXT(E76,"00000"),TEXT(H76,"00000"))</f>
        <v>CQ4000019999</v>
      </c>
      <c r="M76" t="str">
        <f>_xlfn.CONCAT(RIGHT(TRIM($D76),2),TEXT(F76,"00000"),TEXT(H76,"00000"))</f>
        <v>CQ7999919999</v>
      </c>
      <c r="N76" t="str">
        <f>_xlfn.CONCAT(LEFT(TRIM($D76),2),TEXT(E76,"00000"),TEXT(G76,"00000"))</f>
        <v>CP4000090000</v>
      </c>
      <c r="O76" t="str">
        <f>_xlfn.CONCAT(LEFT(TRIM($D76),2),TEXT(F76,"00000"),TEXT(G76,"00000"))</f>
        <v>CP7999990000</v>
      </c>
      <c r="P76">
        <f t="shared" si="3"/>
        <v>5</v>
      </c>
    </row>
  </sheetData>
  <autoFilter ref="A1:O76" xr:uid="{00000000-0001-0000-0100-000000000000}">
    <filterColumn colId="1">
      <colorFilter dxfId="0"/>
    </filterColumn>
    <sortState xmlns:xlrd2="http://schemas.microsoft.com/office/spreadsheetml/2017/richdata2" ref="A2:O76">
      <sortCondition ref="B1:B76"/>
    </sortState>
  </autoFilter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J14" sqref="J14"/>
    </sheetView>
  </sheetViews>
  <sheetFormatPr baseColWidth="10" defaultRowHeight="16" x14ac:dyDescent="0.2"/>
  <sheetData>
    <row r="2" spans="1:11" x14ac:dyDescent="0.2">
      <c r="B2" t="s">
        <v>174</v>
      </c>
      <c r="C2" t="s">
        <v>175</v>
      </c>
      <c r="D2" t="s">
        <v>3</v>
      </c>
    </row>
    <row r="3" spans="1:11" x14ac:dyDescent="0.2">
      <c r="A3" s="1" t="s">
        <v>172</v>
      </c>
      <c r="B3">
        <v>20000</v>
      </c>
      <c r="C3">
        <v>59999</v>
      </c>
      <c r="D3" t="s">
        <v>212</v>
      </c>
    </row>
    <row r="4" spans="1:11" x14ac:dyDescent="0.2">
      <c r="A4" s="1" t="s">
        <v>173</v>
      </c>
      <c r="B4">
        <v>60000</v>
      </c>
      <c r="C4">
        <v>99999</v>
      </c>
      <c r="D4" t="s">
        <v>212</v>
      </c>
      <c r="I4" t="s">
        <v>218</v>
      </c>
      <c r="J4" t="s">
        <v>226</v>
      </c>
      <c r="K4" t="s">
        <v>225</v>
      </c>
    </row>
    <row r="5" spans="1:11" x14ac:dyDescent="0.2">
      <c r="A5" t="s">
        <v>166</v>
      </c>
      <c r="B5">
        <v>0</v>
      </c>
      <c r="C5">
        <f>MOD(C4+40000,100000)</f>
        <v>39999</v>
      </c>
      <c r="D5" t="s">
        <v>176</v>
      </c>
      <c r="I5" t="s">
        <v>224</v>
      </c>
      <c r="J5" t="s">
        <v>222</v>
      </c>
      <c r="K5" t="s">
        <v>223</v>
      </c>
    </row>
    <row r="6" spans="1:11" x14ac:dyDescent="0.2">
      <c r="A6" t="s">
        <v>168</v>
      </c>
      <c r="B6">
        <v>40000</v>
      </c>
      <c r="C6">
        <f t="shared" ref="C6" si="0">MOD(C5+40000,100000)</f>
        <v>79999</v>
      </c>
      <c r="D6" t="s">
        <v>176</v>
      </c>
      <c r="I6" t="s">
        <v>219</v>
      </c>
      <c r="J6" t="s">
        <v>228</v>
      </c>
      <c r="K6" t="s">
        <v>229</v>
      </c>
    </row>
    <row r="7" spans="1:11" x14ac:dyDescent="0.2">
      <c r="A7" t="s">
        <v>167</v>
      </c>
      <c r="B7">
        <v>80000</v>
      </c>
      <c r="C7">
        <v>19999</v>
      </c>
      <c r="D7" t="s">
        <v>176</v>
      </c>
      <c r="E7" t="s">
        <v>177</v>
      </c>
      <c r="J7" t="s">
        <v>221</v>
      </c>
    </row>
    <row r="8" spans="1:11" x14ac:dyDescent="0.2">
      <c r="A8" t="s">
        <v>169</v>
      </c>
      <c r="B8">
        <v>20000</v>
      </c>
      <c r="C8">
        <v>59999</v>
      </c>
      <c r="D8" t="s">
        <v>177</v>
      </c>
    </row>
    <row r="9" spans="1:11" x14ac:dyDescent="0.2">
      <c r="A9" t="s">
        <v>170</v>
      </c>
      <c r="B9">
        <v>60000</v>
      </c>
      <c r="C9">
        <v>99999</v>
      </c>
      <c r="D9" t="s">
        <v>177</v>
      </c>
    </row>
    <row r="10" spans="1:11" x14ac:dyDescent="0.2">
      <c r="A10" t="s">
        <v>171</v>
      </c>
      <c r="B10">
        <v>0</v>
      </c>
      <c r="C10">
        <f>MOD(C9+40000,100000)</f>
        <v>39999</v>
      </c>
      <c r="D10" t="s">
        <v>190</v>
      </c>
    </row>
    <row r="11" spans="1:11" x14ac:dyDescent="0.2">
      <c r="A11" t="s">
        <v>164</v>
      </c>
      <c r="B11">
        <v>40000</v>
      </c>
      <c r="C11">
        <f t="shared" ref="C11:C12" si="1">MOD(C10+40000,100000)</f>
        <v>79999</v>
      </c>
      <c r="D11" t="s">
        <v>190</v>
      </c>
    </row>
    <row r="12" spans="1:11" x14ac:dyDescent="0.2">
      <c r="A12" t="s">
        <v>165</v>
      </c>
      <c r="B12">
        <v>80000</v>
      </c>
      <c r="C12">
        <f t="shared" si="1"/>
        <v>19999</v>
      </c>
      <c r="D12" t="s">
        <v>190</v>
      </c>
      <c r="E12" t="s">
        <v>178</v>
      </c>
    </row>
    <row r="17" spans="1:5" x14ac:dyDescent="0.2">
      <c r="A17" t="s">
        <v>212</v>
      </c>
      <c r="B17">
        <v>30000</v>
      </c>
      <c r="C17">
        <v>59999</v>
      </c>
      <c r="D17" t="s">
        <v>188</v>
      </c>
    </row>
    <row r="18" spans="1:5" x14ac:dyDescent="0.2">
      <c r="A18" t="s">
        <v>176</v>
      </c>
      <c r="B18">
        <v>0</v>
      </c>
      <c r="C18">
        <v>29999</v>
      </c>
      <c r="D18" t="s">
        <v>188</v>
      </c>
    </row>
    <row r="19" spans="1:5" x14ac:dyDescent="0.2">
      <c r="A19" t="s">
        <v>177</v>
      </c>
      <c r="B19">
        <v>70000</v>
      </c>
      <c r="C19">
        <v>99999</v>
      </c>
      <c r="D19" t="s">
        <v>187</v>
      </c>
    </row>
    <row r="20" spans="1:5" x14ac:dyDescent="0.2">
      <c r="A20" t="s">
        <v>190</v>
      </c>
      <c r="B20">
        <v>40000</v>
      </c>
      <c r="C20">
        <v>69999</v>
      </c>
      <c r="D20" t="s">
        <v>187</v>
      </c>
    </row>
    <row r="21" spans="1:5" x14ac:dyDescent="0.2">
      <c r="A21" t="s">
        <v>178</v>
      </c>
      <c r="B21">
        <v>10000</v>
      </c>
      <c r="C21">
        <v>39999</v>
      </c>
      <c r="D21" t="s">
        <v>187</v>
      </c>
    </row>
    <row r="22" spans="1:5" x14ac:dyDescent="0.2">
      <c r="A22" t="s">
        <v>191</v>
      </c>
      <c r="B22">
        <v>80000</v>
      </c>
      <c r="C22">
        <v>9999</v>
      </c>
      <c r="D22" t="s">
        <v>186</v>
      </c>
      <c r="E22" t="s">
        <v>187</v>
      </c>
    </row>
    <row r="23" spans="1:5" x14ac:dyDescent="0.2">
      <c r="A23" t="s">
        <v>179</v>
      </c>
      <c r="B23">
        <v>50000</v>
      </c>
      <c r="C23">
        <v>79999</v>
      </c>
      <c r="D23" t="s">
        <v>186</v>
      </c>
    </row>
    <row r="24" spans="1:5" x14ac:dyDescent="0.2">
      <c r="A24" t="s">
        <v>180</v>
      </c>
      <c r="B24">
        <v>20000</v>
      </c>
      <c r="C24">
        <v>49999</v>
      </c>
      <c r="D24" t="s">
        <v>186</v>
      </c>
    </row>
    <row r="25" spans="1:5" x14ac:dyDescent="0.2">
      <c r="A25" t="s">
        <v>181</v>
      </c>
      <c r="B25">
        <v>90000</v>
      </c>
      <c r="C25">
        <v>19999</v>
      </c>
      <c r="D25" t="s">
        <v>185</v>
      </c>
      <c r="E25" t="s">
        <v>186</v>
      </c>
    </row>
    <row r="26" spans="1:5" x14ac:dyDescent="0.2">
      <c r="A26" t="s">
        <v>182</v>
      </c>
      <c r="B26">
        <v>60000</v>
      </c>
      <c r="C26">
        <v>89999</v>
      </c>
      <c r="D26" t="s">
        <v>185</v>
      </c>
    </row>
    <row r="27" spans="1:5" x14ac:dyDescent="0.2">
      <c r="A27" t="s">
        <v>183</v>
      </c>
      <c r="B27">
        <v>30000</v>
      </c>
      <c r="C27">
        <v>59999</v>
      </c>
      <c r="D27" t="s">
        <v>185</v>
      </c>
    </row>
    <row r="28" spans="1:5" x14ac:dyDescent="0.2">
      <c r="A28" t="s">
        <v>184</v>
      </c>
      <c r="B28">
        <v>0</v>
      </c>
      <c r="C28">
        <v>29999</v>
      </c>
      <c r="D28" t="s">
        <v>185</v>
      </c>
    </row>
    <row r="29" spans="1:5" x14ac:dyDescent="0.2">
      <c r="A29" t="s">
        <v>185</v>
      </c>
      <c r="B29">
        <v>70000</v>
      </c>
      <c r="C29">
        <v>99999</v>
      </c>
      <c r="D29" t="s">
        <v>184</v>
      </c>
    </row>
    <row r="30" spans="1:5" x14ac:dyDescent="0.2">
      <c r="A30" t="s">
        <v>186</v>
      </c>
      <c r="B30">
        <v>40000</v>
      </c>
      <c r="C30">
        <v>69999</v>
      </c>
      <c r="D30" t="s">
        <v>184</v>
      </c>
    </row>
    <row r="31" spans="1:5" x14ac:dyDescent="0.2">
      <c r="A31" t="s">
        <v>187</v>
      </c>
      <c r="B31">
        <v>10000</v>
      </c>
      <c r="C31">
        <v>39999</v>
      </c>
      <c r="D31" t="s">
        <v>184</v>
      </c>
    </row>
    <row r="32" spans="1:5" x14ac:dyDescent="0.2">
      <c r="A32" t="s">
        <v>188</v>
      </c>
      <c r="B32">
        <v>80000</v>
      </c>
      <c r="C32">
        <v>9999</v>
      </c>
      <c r="D32" t="s">
        <v>183</v>
      </c>
      <c r="E32" t="s">
        <v>184</v>
      </c>
    </row>
    <row r="33" spans="1:4" x14ac:dyDescent="0.2">
      <c r="A33" t="s">
        <v>189</v>
      </c>
      <c r="B33">
        <v>50000</v>
      </c>
      <c r="C33">
        <v>79999</v>
      </c>
      <c r="D33" t="s">
        <v>183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2026-04-15T06:19:25Z</dcterms:modified>
</cp:coreProperties>
</file>